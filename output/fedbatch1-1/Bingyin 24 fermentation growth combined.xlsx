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KWlqFc/rFCZczUuWbT7mL2B4sMaPr72GfUbp9i5Y+o="/>
    </ext>
  </extLst>
</workbook>
</file>

<file path=xl/sharedStrings.xml><?xml version="1.0" encoding="utf-8"?>
<sst xmlns="http://schemas.openxmlformats.org/spreadsheetml/2006/main" count="95" uniqueCount="40">
  <si>
    <t>OD600</t>
  </si>
  <si>
    <t>new medium volum</t>
  </si>
  <si>
    <t>concentrated OD</t>
  </si>
  <si>
    <t>volume for inoculation</t>
  </si>
  <si>
    <t>reading</t>
  </si>
  <si>
    <t>OD</t>
  </si>
  <si>
    <t>NAOH volume</t>
  </si>
  <si>
    <t>NER-1</t>
  </si>
  <si>
    <t>NER-2</t>
  </si>
  <si>
    <t>NER-3</t>
  </si>
  <si>
    <t>NER-g-1</t>
  </si>
  <si>
    <t>VAL-1</t>
  </si>
  <si>
    <t>NER-g-2</t>
  </si>
  <si>
    <t>VAL-2</t>
  </si>
  <si>
    <t>NER-g-3</t>
  </si>
  <si>
    <t>VAL-3</t>
  </si>
  <si>
    <t>NER-E-1</t>
  </si>
  <si>
    <t>NER-E-2</t>
  </si>
  <si>
    <t>NER-E-3</t>
  </si>
  <si>
    <t>LIM-g-1</t>
  </si>
  <si>
    <t>LIM-g-2</t>
  </si>
  <si>
    <t>LIM-g-3</t>
  </si>
  <si>
    <t>VAL-g-1</t>
  </si>
  <si>
    <t>VAL-g-2</t>
  </si>
  <si>
    <t>VAL-g-3</t>
  </si>
  <si>
    <t>HUM-g-1</t>
  </si>
  <si>
    <t>HUM-g-2</t>
  </si>
  <si>
    <t>HUM-g-3</t>
  </si>
  <si>
    <t>HUM-E-1</t>
  </si>
  <si>
    <t>HUM-E-2</t>
  </si>
  <si>
    <t>HUM-E-3</t>
  </si>
  <si>
    <t>NER</t>
  </si>
  <si>
    <t>NER-Gln</t>
  </si>
  <si>
    <t>NER-Gln-Evolve</t>
  </si>
  <si>
    <t>HUM-Gln</t>
  </si>
  <si>
    <t>HUM-Gln-Evolve</t>
  </si>
  <si>
    <t>yellow should be NER-Gln-Evolve</t>
  </si>
  <si>
    <t>VAL</t>
  </si>
  <si>
    <t>VAL-Gln</t>
  </si>
  <si>
    <t>LIM-Gln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</si>
</sst>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15" xfId="0" applyFont="1" applyNumberFormat="1"/>
    <xf borderId="0" fillId="0" fontId="2" numFmtId="0" xfId="0" applyFont="1"/>
    <xf borderId="0" fillId="0" fontId="1" numFmtId="20" xfId="0" applyFont="1" applyNumberFormat="1"/>
    <xf borderId="0" fillId="2" fontId="2" numFmtId="0" xfId="0" applyFill="1" applyFont="1"/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8365055046852174"/>
          <c:y val="0.05092592592592592"/>
          <c:w val="0.7398790988230544"/>
          <c:h val="0.785748031496063"/>
        </c:manualLayout>
      </c:layout>
      <c:scatterChart>
        <c:scatterStyle val="lineMarker"/>
        <c:ser>
          <c:idx val="0"/>
          <c:order val="0"/>
          <c:tx>
            <c:v>NER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Sheet1!$P$34:$U$34</c:f>
            </c:numRef>
          </c:xVal>
          <c:yVal>
            <c:numRef>
              <c:f>Sheet1!$P$35:$U$35</c:f>
              <c:numCache/>
            </c:numRef>
          </c:yVal>
        </c:ser>
        <c:ser>
          <c:idx val="1"/>
          <c:order val="1"/>
          <c:tx>
            <c:v>NER-Gln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Sheet1!$P$34:$U$34</c:f>
            </c:numRef>
          </c:xVal>
          <c:yVal>
            <c:numRef>
              <c:f>Sheet1!$P$36:$U$36</c:f>
              <c:numCache/>
            </c:numRef>
          </c:yVal>
        </c:ser>
        <c:ser>
          <c:idx val="2"/>
          <c:order val="2"/>
          <c:tx>
            <c:v>NER-Gln-Evolve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Sheet1!$P$34:$U$34</c:f>
            </c:numRef>
          </c:xVal>
          <c:yVal>
            <c:numRef>
              <c:f>Sheet1!$P$37:$U$37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7861588"/>
        <c:axId val="2097038202"/>
      </c:scatterChart>
      <c:valAx>
        <c:axId val="15378615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Time (h)</a:t>
                </a:r>
              </a:p>
            </c:rich>
          </c:tx>
          <c:layout>
            <c:manualLayout>
              <c:xMode val="edge"/>
              <c:yMode val="edge"/>
              <c:x val="0.4649015748031497"/>
              <c:y val="0.91166593759113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2097038202"/>
        <c:majorUnit val="20.0"/>
      </c:valAx>
      <c:valAx>
        <c:axId val="20970382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OD600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537861588"/>
        <c:minorUnit val="5.0"/>
      </c:valAx>
    </c:plotArea>
    <c:legend>
      <c:legendPos val="b"/>
      <c:layout>
        <c:manualLayout>
          <c:xMode val="edge"/>
          <c:yMode val="edge"/>
          <c:x val="0.19838779527559056"/>
          <c:y val="0.08391149023038785"/>
        </c:manualLayout>
      </c:layout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8365055046852174"/>
          <c:y val="0.05092592592592592"/>
          <c:w val="0.7398790988230544"/>
          <c:h val="0.785748031496063"/>
        </c:manualLayout>
      </c:layout>
      <c:scatterChart>
        <c:scatterStyle val="lineMarker"/>
        <c:ser>
          <c:idx val="0"/>
          <c:order val="0"/>
          <c:tx>
            <c:v>HUM-Gln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Sheet1!$P$34:$U$34</c:f>
            </c:numRef>
          </c:xVal>
          <c:yVal>
            <c:numRef>
              <c:f>Sheet1!$P$40:$U$40</c:f>
              <c:numCache/>
            </c:numRef>
          </c:yVal>
        </c:ser>
        <c:ser>
          <c:idx val="1"/>
          <c:order val="1"/>
          <c:tx>
            <c:v>HUM-Gln-Evolve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Sheet1!$P$34:$U$34</c:f>
            </c:numRef>
          </c:xVal>
          <c:yVal>
            <c:numRef>
              <c:f>Sheet1!$P$41:$U$41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52118"/>
        <c:axId val="2036565400"/>
      </c:scatterChart>
      <c:valAx>
        <c:axId val="54652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Time (h)</a:t>
                </a:r>
              </a:p>
            </c:rich>
          </c:tx>
          <c:layout>
            <c:manualLayout>
              <c:xMode val="edge"/>
              <c:yMode val="edge"/>
              <c:x val="0.4649015748031497"/>
              <c:y val="0.91166593759113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2036565400"/>
        <c:majorUnit val="20.0"/>
      </c:valAx>
      <c:valAx>
        <c:axId val="2036565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OD600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54652118"/>
        <c:minorUnit val="5.0"/>
      </c:valAx>
    </c:plotArea>
    <c:legend>
      <c:legendPos val="b"/>
      <c:layout>
        <c:manualLayout>
          <c:xMode val="edge"/>
          <c:yMode val="edge"/>
          <c:x val="0.19838779527559056"/>
          <c:y val="0.08391149023038785"/>
        </c:manualLayout>
      </c:layout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8365055046852174"/>
          <c:y val="0.05092592592592592"/>
          <c:w val="0.7398790988230544"/>
          <c:h val="0.785748031496063"/>
        </c:manualLayout>
      </c:layout>
      <c:scatterChart>
        <c:scatterStyle val="lineMarker"/>
        <c:ser>
          <c:idx val="0"/>
          <c:order val="0"/>
          <c:tx>
            <c:v>VAL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Sheet1!$P$34:$U$34</c:f>
            </c:numRef>
          </c:xVal>
          <c:yVal>
            <c:numRef>
              <c:f>Sheet1!$P$44:$U$44</c:f>
              <c:numCache/>
            </c:numRef>
          </c:yVal>
        </c:ser>
        <c:ser>
          <c:idx val="1"/>
          <c:order val="1"/>
          <c:tx>
            <c:v>VAL-Gln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Sheet1!$P$34:$U$34</c:f>
            </c:numRef>
          </c:xVal>
          <c:yVal>
            <c:numRef>
              <c:f>Sheet1!$P$45:$U$45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71432"/>
        <c:axId val="1342161644"/>
      </c:scatterChart>
      <c:valAx>
        <c:axId val="5071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Time (h)</a:t>
                </a:r>
              </a:p>
            </c:rich>
          </c:tx>
          <c:layout>
            <c:manualLayout>
              <c:xMode val="edge"/>
              <c:yMode val="edge"/>
              <c:x val="0.4649015748031497"/>
              <c:y val="0.91166593759113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342161644"/>
        <c:majorUnit val="20.0"/>
      </c:valAx>
      <c:valAx>
        <c:axId val="13421616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OD600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5071432"/>
        <c:minorUnit val="5.0"/>
      </c:valAx>
    </c:plotArea>
    <c:legend>
      <c:legendPos val="b"/>
      <c:layout>
        <c:manualLayout>
          <c:xMode val="edge"/>
          <c:yMode val="edge"/>
          <c:x val="0.19838779527559056"/>
          <c:y val="0.08391149023038785"/>
        </c:manualLayout>
      </c:layout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8365055046852174"/>
          <c:y val="0.05092592592592592"/>
          <c:w val="0.7398790988230544"/>
          <c:h val="0.785748031496063"/>
        </c:manualLayout>
      </c:layout>
      <c:scatterChart>
        <c:scatterStyle val="lineMarker"/>
        <c:varyColors val="0"/>
        <c:ser>
          <c:idx val="0"/>
          <c:order val="0"/>
          <c:tx>
            <c:v>LIM-Gln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Sheet1!$P$34:$U$34</c:f>
            </c:numRef>
          </c:xVal>
          <c:yVal>
            <c:numRef>
              <c:f>Sheet1!$P$48:$U$48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282985"/>
        <c:axId val="1451243993"/>
      </c:scatterChart>
      <c:valAx>
        <c:axId val="11732829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Time (h)</a:t>
                </a:r>
              </a:p>
            </c:rich>
          </c:tx>
          <c:layout>
            <c:manualLayout>
              <c:xMode val="edge"/>
              <c:yMode val="edge"/>
              <c:x val="0.4649015748031497"/>
              <c:y val="0.911665937591134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451243993"/>
        <c:majorUnit val="20.0"/>
      </c:valAx>
      <c:valAx>
        <c:axId val="145124399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8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800">
                    <a:solidFill>
                      <a:srgbClr val="000000"/>
                    </a:solidFill>
                    <a:latin typeface="Arial"/>
                  </a:rPr>
                  <a:t>OD600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rial"/>
              </a:defRPr>
            </a:pPr>
          </a:p>
        </c:txPr>
        <c:crossAx val="1173282985"/>
        <c:minorUnit val="5.0"/>
      </c:valAx>
    </c:plotArea>
    <c:legend>
      <c:legendPos val="b"/>
      <c:layout>
        <c:manualLayout>
          <c:xMode val="edge"/>
          <c:yMode val="edge"/>
          <c:x val="0.19838779527559056"/>
          <c:y val="0.08391149023038785"/>
        </c:manualLayout>
      </c:layout>
      <c:overlay val="0"/>
      <c:txPr>
        <a:bodyPr/>
        <a:lstStyle/>
        <a:p>
          <a:pPr lvl="0">
            <a:defRPr b="0" i="0" sz="80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9525</xdr:colOff>
      <xdr:row>49</xdr:row>
      <xdr:rowOff>57150</xdr:rowOff>
    </xdr:from>
    <xdr:ext cx="2009775" cy="2085975"/>
    <xdr:graphicFrame>
      <xdr:nvGraphicFramePr>
        <xdr:cNvPr id="30283203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514350</xdr:colOff>
      <xdr:row>49</xdr:row>
      <xdr:rowOff>57150</xdr:rowOff>
    </xdr:from>
    <xdr:ext cx="1990725" cy="2085975"/>
    <xdr:graphicFrame>
      <xdr:nvGraphicFramePr>
        <xdr:cNvPr id="1606196918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514350</xdr:colOff>
      <xdr:row>49</xdr:row>
      <xdr:rowOff>57150</xdr:rowOff>
    </xdr:from>
    <xdr:ext cx="1990725" cy="2085975"/>
    <xdr:graphicFrame>
      <xdr:nvGraphicFramePr>
        <xdr:cNvPr id="35137630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23</xdr:col>
      <xdr:colOff>314325</xdr:colOff>
      <xdr:row>49</xdr:row>
      <xdr:rowOff>57150</xdr:rowOff>
    </xdr:from>
    <xdr:ext cx="2019300" cy="2085975"/>
    <xdr:graphicFrame>
      <xdr:nvGraphicFramePr>
        <xdr:cNvPr id="155667196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8.71"/>
    <col customWidth="1" min="15" max="15" width="11.14"/>
    <col customWidth="1" min="16" max="36" width="8.71"/>
  </cols>
  <sheetData>
    <row r="1" ht="14.25" customHeight="1">
      <c r="O1" s="1">
        <v>45539.0</v>
      </c>
      <c r="R1" s="1">
        <v>45540.0</v>
      </c>
      <c r="V1" s="1">
        <v>45541.0</v>
      </c>
      <c r="Z1" s="1">
        <v>45542.0</v>
      </c>
      <c r="AD1" s="1">
        <v>45543.0</v>
      </c>
      <c r="AH1" s="1">
        <v>45544.0</v>
      </c>
    </row>
    <row r="2" ht="14.25" customHeight="1">
      <c r="A2" s="1">
        <v>45538.0</v>
      </c>
      <c r="I2" s="2" t="s">
        <v>0</v>
      </c>
      <c r="J2" s="2" t="s">
        <v>1</v>
      </c>
      <c r="L2" s="2" t="s">
        <v>2</v>
      </c>
      <c r="M2" s="2" t="s">
        <v>3</v>
      </c>
      <c r="O2" s="3">
        <v>0.3958333333333333</v>
      </c>
      <c r="P2" s="2">
        <v>0.0</v>
      </c>
      <c r="R2" s="3">
        <v>0.3958333333333333</v>
      </c>
      <c r="S2" s="2">
        <v>24.0</v>
      </c>
      <c r="V2" s="3">
        <v>0.3958333333333333</v>
      </c>
      <c r="W2" s="2">
        <v>48.0</v>
      </c>
      <c r="Z2" s="3">
        <v>0.3958333333333333</v>
      </c>
      <c r="AA2" s="2">
        <v>72.0</v>
      </c>
      <c r="AD2" s="3">
        <v>0.3958333333333333</v>
      </c>
      <c r="AE2" s="2">
        <v>96.0</v>
      </c>
      <c r="AH2" s="3">
        <v>0.3958333333333333</v>
      </c>
      <c r="AI2" s="2">
        <v>120.0</v>
      </c>
    </row>
    <row r="3" ht="14.25" customHeight="1">
      <c r="A3" s="1"/>
      <c r="F3" s="1"/>
      <c r="O3" s="2" t="s">
        <v>4</v>
      </c>
      <c r="P3" s="2" t="s">
        <v>5</v>
      </c>
      <c r="R3" s="2" t="s">
        <v>4</v>
      </c>
      <c r="S3" s="2" t="s">
        <v>5</v>
      </c>
      <c r="T3" s="2" t="s">
        <v>6</v>
      </c>
      <c r="V3" s="2" t="s">
        <v>4</v>
      </c>
      <c r="W3" s="2" t="s">
        <v>5</v>
      </c>
      <c r="X3" s="2" t="s">
        <v>6</v>
      </c>
      <c r="Z3" s="2" t="s">
        <v>4</v>
      </c>
      <c r="AA3" s="2" t="s">
        <v>5</v>
      </c>
      <c r="AB3" s="2" t="s">
        <v>6</v>
      </c>
      <c r="AD3" s="2" t="s">
        <v>4</v>
      </c>
      <c r="AE3" s="2" t="s">
        <v>5</v>
      </c>
      <c r="AF3" s="2" t="s">
        <v>6</v>
      </c>
      <c r="AH3" s="2" t="s">
        <v>4</v>
      </c>
      <c r="AI3" s="2" t="s">
        <v>5</v>
      </c>
      <c r="AJ3" s="2" t="s">
        <v>6</v>
      </c>
    </row>
    <row r="4" ht="14.25" customHeight="1">
      <c r="A4" s="2">
        <v>1.0</v>
      </c>
      <c r="B4" s="2" t="s">
        <v>7</v>
      </c>
      <c r="C4" s="2">
        <v>0.131</v>
      </c>
      <c r="D4" s="2">
        <f t="shared" ref="D4:D27" si="1">5*C4</f>
        <v>0.655</v>
      </c>
      <c r="E4" s="2">
        <f t="shared" ref="E4:E27" si="2">15*0.01/(D4-0.01)</f>
        <v>0.2325581395</v>
      </c>
      <c r="F4" s="2">
        <v>1.0</v>
      </c>
      <c r="G4" s="2" t="s">
        <v>7</v>
      </c>
      <c r="H4" s="2">
        <v>0.354</v>
      </c>
      <c r="I4" s="2">
        <f t="shared" ref="I4:I9" si="3">H4*(1077/177)</f>
        <v>2.154</v>
      </c>
      <c r="J4" s="2">
        <f t="shared" ref="J4:J9" si="4">2*I4</f>
        <v>4.308</v>
      </c>
      <c r="K4" s="2">
        <v>0.116</v>
      </c>
      <c r="L4" s="2">
        <f t="shared" ref="L4:L9" si="5">50*K4</f>
        <v>5.8</v>
      </c>
      <c r="M4" s="2">
        <f t="shared" ref="M4:M9" si="6">21*0.2/(L4-0.2)</f>
        <v>0.75</v>
      </c>
      <c r="O4" s="2">
        <v>0.039</v>
      </c>
      <c r="P4" s="2">
        <f t="shared" ref="P4:P9" si="7">5*O4</f>
        <v>0.195</v>
      </c>
      <c r="R4" s="2">
        <v>0.202</v>
      </c>
      <c r="S4" s="2">
        <f t="shared" ref="S4:S9" si="8">50*R4</f>
        <v>10.1</v>
      </c>
      <c r="T4" s="2">
        <f t="shared" ref="T4:T9" si="9">3*(S4-0.2)</f>
        <v>29.7</v>
      </c>
      <c r="V4" s="2">
        <v>0.123</v>
      </c>
      <c r="W4" s="2">
        <f t="shared" ref="W4:W9" si="10">100*V4</f>
        <v>12.3</v>
      </c>
      <c r="X4" s="2">
        <f t="shared" ref="X4:X9" si="11">3*(W4-S4)</f>
        <v>6.6</v>
      </c>
      <c r="Z4" s="2">
        <v>0.301</v>
      </c>
      <c r="AA4" s="2">
        <f t="shared" ref="AA4:AA9" si="12">50*Z4</f>
        <v>15.05</v>
      </c>
      <c r="AB4" s="2">
        <f t="shared" ref="AB4:AB9" si="13">3*(AA4-W4)</f>
        <v>8.25</v>
      </c>
      <c r="AD4" s="2">
        <v>0.308</v>
      </c>
      <c r="AE4" s="2">
        <f t="shared" ref="AE4:AE9" si="14">100*AD4</f>
        <v>30.8</v>
      </c>
      <c r="AF4" s="2">
        <f t="shared" ref="AF4:AF9" si="15">3*(AE4-AA4)</f>
        <v>47.25</v>
      </c>
      <c r="AH4" s="2">
        <v>0.379</v>
      </c>
      <c r="AI4" s="2">
        <f t="shared" ref="AI4:AI9" si="16">100*AH4</f>
        <v>37.9</v>
      </c>
      <c r="AJ4" s="2">
        <f t="shared" ref="AJ4:AJ9" si="17">3*(AI4-AE4)</f>
        <v>21.3</v>
      </c>
    </row>
    <row r="5" ht="14.25" customHeight="1">
      <c r="A5" s="2">
        <v>2.0</v>
      </c>
      <c r="B5" s="2" t="s">
        <v>8</v>
      </c>
      <c r="C5" s="2">
        <v>0.226</v>
      </c>
      <c r="D5" s="2">
        <f t="shared" si="1"/>
        <v>1.13</v>
      </c>
      <c r="E5" s="2">
        <f t="shared" si="2"/>
        <v>0.1339285714</v>
      </c>
      <c r="F5" s="2">
        <v>2.0</v>
      </c>
      <c r="G5" s="2" t="s">
        <v>8</v>
      </c>
      <c r="H5" s="2">
        <v>0.369</v>
      </c>
      <c r="I5" s="2">
        <f t="shared" si="3"/>
        <v>2.245271186</v>
      </c>
      <c r="J5" s="2">
        <f t="shared" si="4"/>
        <v>4.490542373</v>
      </c>
      <c r="K5" s="2">
        <v>0.118</v>
      </c>
      <c r="L5" s="2">
        <f t="shared" si="5"/>
        <v>5.9</v>
      </c>
      <c r="M5" s="2">
        <f t="shared" si="6"/>
        <v>0.7368421053</v>
      </c>
      <c r="O5" s="2">
        <v>0.045</v>
      </c>
      <c r="P5" s="2">
        <f t="shared" si="7"/>
        <v>0.225</v>
      </c>
      <c r="R5" s="2">
        <v>0.188</v>
      </c>
      <c r="S5" s="2">
        <f t="shared" si="8"/>
        <v>9.4</v>
      </c>
      <c r="T5" s="2">
        <f t="shared" si="9"/>
        <v>27.6</v>
      </c>
      <c r="V5" s="2">
        <v>0.112</v>
      </c>
      <c r="W5" s="2">
        <f t="shared" si="10"/>
        <v>11.2</v>
      </c>
      <c r="X5" s="2">
        <f t="shared" si="11"/>
        <v>5.4</v>
      </c>
      <c r="Z5" s="2">
        <v>0.331</v>
      </c>
      <c r="AA5" s="2">
        <f t="shared" si="12"/>
        <v>16.55</v>
      </c>
      <c r="AB5" s="2">
        <f t="shared" si="13"/>
        <v>16.05</v>
      </c>
      <c r="AD5" s="2">
        <v>0.323</v>
      </c>
      <c r="AE5" s="2">
        <f t="shared" si="14"/>
        <v>32.3</v>
      </c>
      <c r="AF5" s="2">
        <f t="shared" si="15"/>
        <v>47.25</v>
      </c>
      <c r="AH5" s="2">
        <v>0.388</v>
      </c>
      <c r="AI5" s="2">
        <f t="shared" si="16"/>
        <v>38.8</v>
      </c>
      <c r="AJ5" s="2">
        <f t="shared" si="17"/>
        <v>19.5</v>
      </c>
    </row>
    <row r="6" ht="14.25" customHeight="1">
      <c r="A6" s="2">
        <v>3.0</v>
      </c>
      <c r="B6" s="2" t="s">
        <v>9</v>
      </c>
      <c r="C6" s="2">
        <v>0.096</v>
      </c>
      <c r="D6" s="2">
        <f t="shared" si="1"/>
        <v>0.48</v>
      </c>
      <c r="E6" s="2">
        <f t="shared" si="2"/>
        <v>0.3191489362</v>
      </c>
      <c r="F6" s="2">
        <v>3.0</v>
      </c>
      <c r="G6" s="2" t="s">
        <v>9</v>
      </c>
      <c r="H6" s="2">
        <v>0.34</v>
      </c>
      <c r="I6" s="2">
        <f t="shared" si="3"/>
        <v>2.068813559</v>
      </c>
      <c r="J6" s="2">
        <f t="shared" si="4"/>
        <v>4.137627119</v>
      </c>
      <c r="K6" s="2">
        <v>0.124</v>
      </c>
      <c r="L6" s="2">
        <f t="shared" si="5"/>
        <v>6.2</v>
      </c>
      <c r="M6" s="2">
        <f t="shared" si="6"/>
        <v>0.7</v>
      </c>
      <c r="O6" s="2">
        <v>0.041</v>
      </c>
      <c r="P6" s="2">
        <f t="shared" si="7"/>
        <v>0.205</v>
      </c>
      <c r="R6" s="2">
        <v>0.206</v>
      </c>
      <c r="S6" s="2">
        <f t="shared" si="8"/>
        <v>10.3</v>
      </c>
      <c r="T6" s="2">
        <f t="shared" si="9"/>
        <v>30.3</v>
      </c>
      <c r="V6" s="2">
        <v>0.126</v>
      </c>
      <c r="W6" s="2">
        <f t="shared" si="10"/>
        <v>12.6</v>
      </c>
      <c r="X6" s="2">
        <f t="shared" si="11"/>
        <v>6.9</v>
      </c>
      <c r="Z6" s="2">
        <v>0.375</v>
      </c>
      <c r="AA6" s="2">
        <f t="shared" si="12"/>
        <v>18.75</v>
      </c>
      <c r="AB6" s="2">
        <f t="shared" si="13"/>
        <v>18.45</v>
      </c>
      <c r="AD6" s="2">
        <v>0.37</v>
      </c>
      <c r="AE6" s="2">
        <f t="shared" si="14"/>
        <v>37</v>
      </c>
      <c r="AF6" s="2">
        <f t="shared" si="15"/>
        <v>54.75</v>
      </c>
      <c r="AH6" s="2">
        <v>0.498</v>
      </c>
      <c r="AI6" s="2">
        <f t="shared" si="16"/>
        <v>49.8</v>
      </c>
      <c r="AJ6" s="2">
        <f t="shared" si="17"/>
        <v>38.4</v>
      </c>
    </row>
    <row r="7" ht="14.25" customHeight="1">
      <c r="A7" s="2">
        <v>4.0</v>
      </c>
      <c r="B7" s="2" t="s">
        <v>10</v>
      </c>
      <c r="C7" s="2">
        <v>0.122</v>
      </c>
      <c r="D7" s="2">
        <f t="shared" si="1"/>
        <v>0.61</v>
      </c>
      <c r="E7" s="2">
        <f t="shared" si="2"/>
        <v>0.25</v>
      </c>
      <c r="F7" s="2">
        <v>13.0</v>
      </c>
      <c r="G7" s="2" t="s">
        <v>11</v>
      </c>
      <c r="H7" s="2">
        <v>0.373</v>
      </c>
      <c r="I7" s="2">
        <f t="shared" si="3"/>
        <v>2.269610169</v>
      </c>
      <c r="J7" s="2">
        <f t="shared" si="4"/>
        <v>4.539220339</v>
      </c>
      <c r="K7" s="2">
        <v>0.136</v>
      </c>
      <c r="L7" s="2">
        <f t="shared" si="5"/>
        <v>6.8</v>
      </c>
      <c r="M7" s="2">
        <f t="shared" si="6"/>
        <v>0.6363636364</v>
      </c>
      <c r="O7" s="2">
        <v>0.041</v>
      </c>
      <c r="P7" s="2">
        <f t="shared" si="7"/>
        <v>0.205</v>
      </c>
      <c r="R7" s="2">
        <v>0.157</v>
      </c>
      <c r="S7" s="2">
        <f t="shared" si="8"/>
        <v>7.85</v>
      </c>
      <c r="T7" s="2">
        <f t="shared" si="9"/>
        <v>22.95</v>
      </c>
      <c r="V7" s="2">
        <v>0.115</v>
      </c>
      <c r="W7" s="2">
        <f t="shared" si="10"/>
        <v>11.5</v>
      </c>
      <c r="X7" s="2">
        <f t="shared" si="11"/>
        <v>10.95</v>
      </c>
      <c r="Z7" s="2">
        <v>0.405</v>
      </c>
      <c r="AA7" s="2">
        <f t="shared" si="12"/>
        <v>20.25</v>
      </c>
      <c r="AB7" s="2">
        <f t="shared" si="13"/>
        <v>26.25</v>
      </c>
      <c r="AD7" s="2">
        <v>0.311</v>
      </c>
      <c r="AE7" s="2">
        <f t="shared" si="14"/>
        <v>31.1</v>
      </c>
      <c r="AF7" s="2">
        <f t="shared" si="15"/>
        <v>32.55</v>
      </c>
      <c r="AH7" s="2">
        <v>0.353</v>
      </c>
      <c r="AI7" s="2">
        <f t="shared" si="16"/>
        <v>35.3</v>
      </c>
      <c r="AJ7" s="2">
        <f t="shared" si="17"/>
        <v>12.6</v>
      </c>
    </row>
    <row r="8" ht="14.25" customHeight="1">
      <c r="A8" s="2">
        <v>5.0</v>
      </c>
      <c r="B8" s="2" t="s">
        <v>12</v>
      </c>
      <c r="C8" s="2">
        <v>0.118</v>
      </c>
      <c r="D8" s="2">
        <f t="shared" si="1"/>
        <v>0.59</v>
      </c>
      <c r="E8" s="2">
        <f t="shared" si="2"/>
        <v>0.2586206897</v>
      </c>
      <c r="F8" s="2">
        <v>14.0</v>
      </c>
      <c r="G8" s="2" t="s">
        <v>13</v>
      </c>
      <c r="H8" s="2">
        <v>0.303</v>
      </c>
      <c r="I8" s="2">
        <f t="shared" si="3"/>
        <v>1.843677966</v>
      </c>
      <c r="J8" s="2">
        <f t="shared" si="4"/>
        <v>3.687355932</v>
      </c>
      <c r="K8" s="2">
        <v>0.115</v>
      </c>
      <c r="L8" s="2">
        <f t="shared" si="5"/>
        <v>5.75</v>
      </c>
      <c r="M8" s="2">
        <f t="shared" si="6"/>
        <v>0.7567567568</v>
      </c>
      <c r="O8" s="2">
        <v>0.04</v>
      </c>
      <c r="P8" s="2">
        <f t="shared" si="7"/>
        <v>0.2</v>
      </c>
      <c r="R8" s="2">
        <v>0.212</v>
      </c>
      <c r="S8" s="2">
        <f t="shared" si="8"/>
        <v>10.6</v>
      </c>
      <c r="T8" s="2">
        <f t="shared" si="9"/>
        <v>31.2</v>
      </c>
      <c r="V8" s="2">
        <v>0.12</v>
      </c>
      <c r="W8" s="2">
        <f t="shared" si="10"/>
        <v>12</v>
      </c>
      <c r="X8" s="2">
        <f t="shared" si="11"/>
        <v>4.2</v>
      </c>
      <c r="Z8" s="2">
        <v>0.353</v>
      </c>
      <c r="AA8" s="2">
        <f t="shared" si="12"/>
        <v>17.65</v>
      </c>
      <c r="AB8" s="2">
        <f t="shared" si="13"/>
        <v>16.95</v>
      </c>
      <c r="AD8" s="2">
        <v>0.26</v>
      </c>
      <c r="AE8" s="2">
        <f t="shared" si="14"/>
        <v>26</v>
      </c>
      <c r="AF8" s="2">
        <f t="shared" si="15"/>
        <v>25.05</v>
      </c>
      <c r="AH8" s="2">
        <v>0.276</v>
      </c>
      <c r="AI8" s="2">
        <f t="shared" si="16"/>
        <v>27.6</v>
      </c>
      <c r="AJ8" s="2">
        <f t="shared" si="17"/>
        <v>4.8</v>
      </c>
    </row>
    <row r="9" ht="14.25" customHeight="1">
      <c r="A9" s="2">
        <v>6.0</v>
      </c>
      <c r="B9" s="2" t="s">
        <v>14</v>
      </c>
      <c r="C9" s="2">
        <v>0.104</v>
      </c>
      <c r="D9" s="2">
        <f t="shared" si="1"/>
        <v>0.52</v>
      </c>
      <c r="E9" s="2">
        <f t="shared" si="2"/>
        <v>0.2941176471</v>
      </c>
      <c r="F9" s="2">
        <v>15.0</v>
      </c>
      <c r="G9" s="2" t="s">
        <v>15</v>
      </c>
      <c r="H9" s="2">
        <v>0.274</v>
      </c>
      <c r="I9" s="2">
        <f t="shared" si="3"/>
        <v>1.667220339</v>
      </c>
      <c r="J9" s="2">
        <f t="shared" si="4"/>
        <v>3.334440678</v>
      </c>
      <c r="K9" s="2">
        <v>0.126</v>
      </c>
      <c r="L9" s="2">
        <f t="shared" si="5"/>
        <v>6.3</v>
      </c>
      <c r="M9" s="2">
        <f t="shared" si="6"/>
        <v>0.6885245902</v>
      </c>
      <c r="O9" s="2">
        <v>0.038</v>
      </c>
      <c r="P9" s="2">
        <f t="shared" si="7"/>
        <v>0.19</v>
      </c>
      <c r="R9" s="2">
        <v>0.232</v>
      </c>
      <c r="S9" s="2">
        <f t="shared" si="8"/>
        <v>11.6</v>
      </c>
      <c r="T9" s="2">
        <f t="shared" si="9"/>
        <v>34.2</v>
      </c>
      <c r="V9" s="2">
        <v>0.137</v>
      </c>
      <c r="W9" s="2">
        <f t="shared" si="10"/>
        <v>13.7</v>
      </c>
      <c r="X9" s="2">
        <f t="shared" si="11"/>
        <v>6.3</v>
      </c>
      <c r="Z9" s="2">
        <v>0.368</v>
      </c>
      <c r="AA9" s="2">
        <f t="shared" si="12"/>
        <v>18.4</v>
      </c>
      <c r="AB9" s="2">
        <f t="shared" si="13"/>
        <v>14.1</v>
      </c>
      <c r="AD9" s="2">
        <v>0.271</v>
      </c>
      <c r="AE9" s="2">
        <f t="shared" si="14"/>
        <v>27.1</v>
      </c>
      <c r="AF9" s="2">
        <f t="shared" si="15"/>
        <v>26.1</v>
      </c>
      <c r="AH9" s="2">
        <v>0.27</v>
      </c>
      <c r="AI9" s="2">
        <f t="shared" si="16"/>
        <v>27</v>
      </c>
      <c r="AJ9" s="2">
        <f t="shared" si="17"/>
        <v>-0.3</v>
      </c>
    </row>
    <row r="10" ht="14.25" customHeight="1">
      <c r="A10" s="2">
        <v>7.0</v>
      </c>
      <c r="B10" s="2" t="s">
        <v>16</v>
      </c>
      <c r="C10" s="2">
        <v>0.179</v>
      </c>
      <c r="D10" s="2">
        <f t="shared" si="1"/>
        <v>0.895</v>
      </c>
      <c r="E10" s="2">
        <f t="shared" si="2"/>
        <v>0.1694915254</v>
      </c>
    </row>
    <row r="11" ht="14.25" customHeight="1">
      <c r="A11" s="2">
        <v>8.0</v>
      </c>
      <c r="B11" s="2" t="s">
        <v>17</v>
      </c>
      <c r="C11" s="2">
        <v>0.167</v>
      </c>
      <c r="D11" s="2">
        <f t="shared" si="1"/>
        <v>0.835</v>
      </c>
      <c r="E11" s="2">
        <f t="shared" si="2"/>
        <v>0.1818181818</v>
      </c>
    </row>
    <row r="12" ht="14.25" customHeight="1">
      <c r="A12" s="2">
        <v>9.0</v>
      </c>
      <c r="B12" s="2" t="s">
        <v>18</v>
      </c>
      <c r="C12" s="2">
        <v>0.148</v>
      </c>
      <c r="D12" s="2">
        <f t="shared" si="1"/>
        <v>0.74</v>
      </c>
      <c r="E12" s="2">
        <f t="shared" si="2"/>
        <v>0.2054794521</v>
      </c>
      <c r="O12" s="3">
        <v>0.6875</v>
      </c>
      <c r="R12" s="3">
        <v>0.6875</v>
      </c>
      <c r="S12" s="2">
        <v>24.0</v>
      </c>
      <c r="V12" s="3">
        <v>0.6875</v>
      </c>
      <c r="W12" s="2">
        <v>48.0</v>
      </c>
      <c r="Z12" s="3">
        <v>0.6875</v>
      </c>
      <c r="AA12" s="2">
        <v>72.0</v>
      </c>
      <c r="AD12" s="3">
        <v>0.6875</v>
      </c>
      <c r="AE12" s="2">
        <v>96.0</v>
      </c>
      <c r="AH12" s="3">
        <v>0.6875</v>
      </c>
      <c r="AI12" s="2">
        <v>120.0</v>
      </c>
    </row>
    <row r="13" ht="14.25" customHeight="1">
      <c r="A13" s="2">
        <v>10.0</v>
      </c>
      <c r="B13" s="2" t="s">
        <v>19</v>
      </c>
      <c r="C13" s="2">
        <v>0.171</v>
      </c>
      <c r="D13" s="2">
        <f t="shared" si="1"/>
        <v>0.855</v>
      </c>
      <c r="E13" s="2">
        <f t="shared" si="2"/>
        <v>0.1775147929</v>
      </c>
      <c r="O13" s="2" t="s">
        <v>4</v>
      </c>
      <c r="P13" s="2" t="s">
        <v>5</v>
      </c>
      <c r="R13" s="2" t="s">
        <v>4</v>
      </c>
      <c r="S13" s="2" t="s">
        <v>5</v>
      </c>
      <c r="T13" s="2" t="s">
        <v>6</v>
      </c>
      <c r="V13" s="2" t="s">
        <v>4</v>
      </c>
      <c r="W13" s="2" t="s">
        <v>5</v>
      </c>
      <c r="X13" s="2" t="s">
        <v>6</v>
      </c>
      <c r="Z13" s="2" t="s">
        <v>4</v>
      </c>
      <c r="AA13" s="2" t="s">
        <v>5</v>
      </c>
      <c r="AB13" s="2" t="s">
        <v>6</v>
      </c>
      <c r="AD13" s="2" t="s">
        <v>4</v>
      </c>
      <c r="AE13" s="2" t="s">
        <v>5</v>
      </c>
      <c r="AF13" s="2" t="s">
        <v>6</v>
      </c>
      <c r="AH13" s="2" t="s">
        <v>4</v>
      </c>
      <c r="AI13" s="2" t="s">
        <v>5</v>
      </c>
      <c r="AJ13" s="2" t="s">
        <v>6</v>
      </c>
    </row>
    <row r="14" ht="14.25" customHeight="1">
      <c r="A14" s="2">
        <v>11.0</v>
      </c>
      <c r="B14" s="2" t="s">
        <v>20</v>
      </c>
      <c r="C14" s="2">
        <v>0.184</v>
      </c>
      <c r="D14" s="2">
        <f t="shared" si="1"/>
        <v>0.92</v>
      </c>
      <c r="E14" s="2">
        <f t="shared" si="2"/>
        <v>0.1648351648</v>
      </c>
      <c r="F14" s="2">
        <v>4.0</v>
      </c>
      <c r="G14" s="2" t="s">
        <v>10</v>
      </c>
      <c r="K14" s="2">
        <v>0.118</v>
      </c>
      <c r="L14" s="2">
        <f t="shared" ref="L14:L31" si="18">50*K14</f>
        <v>5.9</v>
      </c>
      <c r="M14" s="2">
        <f t="shared" ref="M14:M31" si="19">21*0.2/(L14-0.2)</f>
        <v>0.7368421053</v>
      </c>
      <c r="O14" s="2">
        <v>0.037</v>
      </c>
      <c r="P14" s="2">
        <f t="shared" ref="P14:P31" si="20">5*O14</f>
        <v>0.185</v>
      </c>
      <c r="R14" s="2">
        <v>0.118</v>
      </c>
      <c r="S14" s="2">
        <f t="shared" ref="S14:S31" si="21">50*R14</f>
        <v>5.9</v>
      </c>
      <c r="T14" s="2">
        <f t="shared" ref="T14:T31" si="22">3*(S14-0.2)</f>
        <v>17.1</v>
      </c>
      <c r="V14" s="2">
        <v>0.319</v>
      </c>
      <c r="W14" s="2">
        <f t="shared" ref="W14:W31" si="23">50*V14</f>
        <v>15.95</v>
      </c>
      <c r="X14" s="2">
        <f t="shared" ref="X14:X31" si="24">3*(W14-S14)</f>
        <v>30.15</v>
      </c>
      <c r="Z14" s="2">
        <v>0.418</v>
      </c>
      <c r="AA14" s="2">
        <f t="shared" ref="AA14:AA31" si="25">50*Z14</f>
        <v>20.9</v>
      </c>
      <c r="AB14" s="2">
        <f t="shared" ref="AB14:AB31" si="26">3*(AA14-W14)</f>
        <v>14.85</v>
      </c>
      <c r="AD14" s="2">
        <v>0.369</v>
      </c>
      <c r="AE14" s="2">
        <f t="shared" ref="AE14:AE31" si="27">100*AD14</f>
        <v>36.9</v>
      </c>
      <c r="AF14" s="2">
        <f t="shared" ref="AF14:AF31" si="28">3*(AE14-AA14)</f>
        <v>48</v>
      </c>
      <c r="AH14" s="2">
        <v>0.503</v>
      </c>
      <c r="AI14" s="2">
        <f t="shared" ref="AI14:AI31" si="29">100*AH14</f>
        <v>50.3</v>
      </c>
      <c r="AJ14" s="2">
        <f t="shared" ref="AJ14:AJ31" si="30">3*(AI14-AE14)</f>
        <v>40.2</v>
      </c>
    </row>
    <row r="15" ht="14.25" customHeight="1">
      <c r="A15" s="2">
        <v>12.0</v>
      </c>
      <c r="B15" s="2" t="s">
        <v>21</v>
      </c>
      <c r="C15" s="2">
        <v>0.159</v>
      </c>
      <c r="D15" s="2">
        <f t="shared" si="1"/>
        <v>0.795</v>
      </c>
      <c r="E15" s="2">
        <f t="shared" si="2"/>
        <v>0.1910828025</v>
      </c>
      <c r="F15" s="2">
        <v>5.0</v>
      </c>
      <c r="G15" s="2" t="s">
        <v>12</v>
      </c>
      <c r="K15" s="2">
        <v>0.129</v>
      </c>
      <c r="L15" s="2">
        <f t="shared" si="18"/>
        <v>6.45</v>
      </c>
      <c r="M15" s="2">
        <f t="shared" si="19"/>
        <v>0.672</v>
      </c>
      <c r="O15" s="2">
        <v>0.036</v>
      </c>
      <c r="P15" s="2">
        <f t="shared" si="20"/>
        <v>0.18</v>
      </c>
      <c r="R15" s="2">
        <v>0.055</v>
      </c>
      <c r="S15" s="2">
        <f t="shared" si="21"/>
        <v>2.75</v>
      </c>
      <c r="T15" s="2">
        <f t="shared" si="22"/>
        <v>7.65</v>
      </c>
      <c r="V15" s="2">
        <v>0.251</v>
      </c>
      <c r="W15" s="2">
        <f t="shared" si="23"/>
        <v>12.55</v>
      </c>
      <c r="X15" s="2">
        <f t="shared" si="24"/>
        <v>29.4</v>
      </c>
      <c r="Z15" s="2">
        <v>0.423</v>
      </c>
      <c r="AA15" s="2">
        <f t="shared" si="25"/>
        <v>21.15</v>
      </c>
      <c r="AB15" s="2">
        <f t="shared" si="26"/>
        <v>25.8</v>
      </c>
      <c r="AD15" s="2">
        <v>0.369</v>
      </c>
      <c r="AE15" s="2">
        <f t="shared" si="27"/>
        <v>36.9</v>
      </c>
      <c r="AF15" s="2">
        <f t="shared" si="28"/>
        <v>47.25</v>
      </c>
      <c r="AH15" s="2">
        <v>0.494</v>
      </c>
      <c r="AI15" s="2">
        <f t="shared" si="29"/>
        <v>49.4</v>
      </c>
      <c r="AJ15" s="2">
        <f t="shared" si="30"/>
        <v>37.5</v>
      </c>
    </row>
    <row r="16" ht="14.25" customHeight="1">
      <c r="A16" s="2">
        <v>13.0</v>
      </c>
      <c r="B16" s="2" t="s">
        <v>11</v>
      </c>
      <c r="C16" s="2">
        <v>0.144</v>
      </c>
      <c r="D16" s="2">
        <f t="shared" si="1"/>
        <v>0.72</v>
      </c>
      <c r="E16" s="2">
        <f t="shared" si="2"/>
        <v>0.2112676056</v>
      </c>
      <c r="F16" s="2">
        <v>6.0</v>
      </c>
      <c r="G16" s="2" t="s">
        <v>14</v>
      </c>
      <c r="K16" s="2">
        <v>0.209</v>
      </c>
      <c r="L16" s="2">
        <f t="shared" si="18"/>
        <v>10.45</v>
      </c>
      <c r="M16" s="2">
        <f t="shared" si="19"/>
        <v>0.4097560976</v>
      </c>
      <c r="O16" s="2">
        <v>0.037</v>
      </c>
      <c r="P16" s="2">
        <f t="shared" si="20"/>
        <v>0.185</v>
      </c>
      <c r="R16" s="2">
        <v>0.191</v>
      </c>
      <c r="S16" s="2">
        <f t="shared" si="21"/>
        <v>9.55</v>
      </c>
      <c r="T16" s="2">
        <f t="shared" si="22"/>
        <v>28.05</v>
      </c>
      <c r="V16" s="2">
        <v>0.325</v>
      </c>
      <c r="W16" s="2">
        <f t="shared" si="23"/>
        <v>16.25</v>
      </c>
      <c r="X16" s="2">
        <f t="shared" si="24"/>
        <v>20.1</v>
      </c>
      <c r="Z16" s="2">
        <v>0.449</v>
      </c>
      <c r="AA16" s="2">
        <f t="shared" si="25"/>
        <v>22.45</v>
      </c>
      <c r="AB16" s="2">
        <f t="shared" si="26"/>
        <v>18.6</v>
      </c>
      <c r="AD16" s="2">
        <v>0.378</v>
      </c>
      <c r="AE16" s="2">
        <f t="shared" si="27"/>
        <v>37.8</v>
      </c>
      <c r="AF16" s="2">
        <f t="shared" si="28"/>
        <v>46.05</v>
      </c>
      <c r="AH16" s="2">
        <v>0.517</v>
      </c>
      <c r="AI16" s="2">
        <f t="shared" si="29"/>
        <v>51.7</v>
      </c>
      <c r="AJ16" s="2">
        <f t="shared" si="30"/>
        <v>41.7</v>
      </c>
    </row>
    <row r="17" ht="14.25" customHeight="1">
      <c r="A17" s="2">
        <v>14.0</v>
      </c>
      <c r="B17" s="2" t="s">
        <v>13</v>
      </c>
      <c r="C17" s="2">
        <v>0.103</v>
      </c>
      <c r="D17" s="2">
        <f t="shared" si="1"/>
        <v>0.515</v>
      </c>
      <c r="E17" s="2">
        <f t="shared" si="2"/>
        <v>0.297029703</v>
      </c>
      <c r="F17" s="2">
        <v>7.0</v>
      </c>
      <c r="G17" s="2" t="s">
        <v>16</v>
      </c>
      <c r="K17" s="2">
        <v>0.132</v>
      </c>
      <c r="L17" s="2">
        <f t="shared" si="18"/>
        <v>6.6</v>
      </c>
      <c r="M17" s="2">
        <f t="shared" si="19"/>
        <v>0.65625</v>
      </c>
      <c r="O17" s="2">
        <v>0.037</v>
      </c>
      <c r="P17" s="2">
        <f t="shared" si="20"/>
        <v>0.185</v>
      </c>
      <c r="R17" s="2">
        <v>0.183</v>
      </c>
      <c r="S17" s="2">
        <f t="shared" si="21"/>
        <v>9.15</v>
      </c>
      <c r="T17" s="2">
        <f t="shared" si="22"/>
        <v>26.85</v>
      </c>
      <c r="V17" s="2">
        <v>0.324</v>
      </c>
      <c r="W17" s="2">
        <f t="shared" si="23"/>
        <v>16.2</v>
      </c>
      <c r="X17" s="2">
        <f t="shared" si="24"/>
        <v>21.15</v>
      </c>
      <c r="Z17" s="2">
        <v>0.415</v>
      </c>
      <c r="AA17" s="2">
        <f t="shared" si="25"/>
        <v>20.75</v>
      </c>
      <c r="AB17" s="2">
        <f t="shared" si="26"/>
        <v>13.65</v>
      </c>
      <c r="AD17" s="2">
        <v>0.373</v>
      </c>
      <c r="AE17" s="2">
        <f t="shared" si="27"/>
        <v>37.3</v>
      </c>
      <c r="AF17" s="2">
        <f t="shared" si="28"/>
        <v>49.65</v>
      </c>
      <c r="AH17" s="2">
        <v>0.497</v>
      </c>
      <c r="AI17" s="2">
        <f t="shared" si="29"/>
        <v>49.7</v>
      </c>
      <c r="AJ17" s="2">
        <f t="shared" si="30"/>
        <v>37.2</v>
      </c>
    </row>
    <row r="18" ht="14.25" customHeight="1">
      <c r="A18" s="2">
        <v>15.0</v>
      </c>
      <c r="B18" s="2" t="s">
        <v>15</v>
      </c>
      <c r="C18" s="2">
        <v>0.116</v>
      </c>
      <c r="D18" s="2">
        <f t="shared" si="1"/>
        <v>0.58</v>
      </c>
      <c r="E18" s="2">
        <f t="shared" si="2"/>
        <v>0.2631578947</v>
      </c>
      <c r="F18" s="2">
        <v>8.0</v>
      </c>
      <c r="G18" s="2" t="s">
        <v>17</v>
      </c>
      <c r="K18" s="2">
        <v>0.14</v>
      </c>
      <c r="L18" s="2">
        <f t="shared" si="18"/>
        <v>7</v>
      </c>
      <c r="M18" s="2">
        <f t="shared" si="19"/>
        <v>0.6176470588</v>
      </c>
      <c r="O18" s="2">
        <v>0.038</v>
      </c>
      <c r="P18" s="2">
        <f t="shared" si="20"/>
        <v>0.19</v>
      </c>
      <c r="R18" s="2">
        <v>0.187</v>
      </c>
      <c r="S18" s="2">
        <f t="shared" si="21"/>
        <v>9.35</v>
      </c>
      <c r="T18" s="2">
        <f t="shared" si="22"/>
        <v>27.45</v>
      </c>
      <c r="V18" s="2">
        <v>0.318</v>
      </c>
      <c r="W18" s="2">
        <f t="shared" si="23"/>
        <v>15.9</v>
      </c>
      <c r="X18" s="2">
        <f t="shared" si="24"/>
        <v>19.65</v>
      </c>
      <c r="Z18" s="2">
        <v>0.423</v>
      </c>
      <c r="AA18" s="2">
        <f t="shared" si="25"/>
        <v>21.15</v>
      </c>
      <c r="AB18" s="2">
        <f t="shared" si="26"/>
        <v>15.75</v>
      </c>
      <c r="AD18" s="2">
        <v>0.334</v>
      </c>
      <c r="AE18" s="2">
        <f t="shared" si="27"/>
        <v>33.4</v>
      </c>
      <c r="AF18" s="2">
        <f t="shared" si="28"/>
        <v>36.75</v>
      </c>
      <c r="AH18" s="2">
        <v>0.487</v>
      </c>
      <c r="AI18" s="2">
        <f t="shared" si="29"/>
        <v>48.7</v>
      </c>
      <c r="AJ18" s="2">
        <f t="shared" si="30"/>
        <v>45.9</v>
      </c>
    </row>
    <row r="19" ht="14.25" customHeight="1">
      <c r="A19" s="2">
        <v>16.0</v>
      </c>
      <c r="B19" s="2" t="s">
        <v>22</v>
      </c>
      <c r="C19" s="2">
        <v>0.144</v>
      </c>
      <c r="D19" s="2">
        <f t="shared" si="1"/>
        <v>0.72</v>
      </c>
      <c r="E19" s="2">
        <f t="shared" si="2"/>
        <v>0.2112676056</v>
      </c>
      <c r="F19" s="2">
        <v>9.0</v>
      </c>
      <c r="G19" s="2" t="s">
        <v>18</v>
      </c>
      <c r="K19" s="2">
        <v>0.141</v>
      </c>
      <c r="L19" s="2">
        <f t="shared" si="18"/>
        <v>7.05</v>
      </c>
      <c r="M19" s="2">
        <f t="shared" si="19"/>
        <v>0.6131386861</v>
      </c>
      <c r="O19" s="2">
        <v>0.033</v>
      </c>
      <c r="P19" s="2">
        <f t="shared" si="20"/>
        <v>0.165</v>
      </c>
      <c r="R19" s="2">
        <v>0.2</v>
      </c>
      <c r="S19" s="2">
        <f t="shared" si="21"/>
        <v>10</v>
      </c>
      <c r="T19" s="2">
        <f t="shared" si="22"/>
        <v>29.4</v>
      </c>
      <c r="V19" s="2">
        <v>0.334</v>
      </c>
      <c r="W19" s="2">
        <f t="shared" si="23"/>
        <v>16.7</v>
      </c>
      <c r="X19" s="2">
        <f t="shared" si="24"/>
        <v>20.1</v>
      </c>
      <c r="Z19" s="2">
        <v>0.423</v>
      </c>
      <c r="AA19" s="2">
        <f t="shared" si="25"/>
        <v>21.15</v>
      </c>
      <c r="AB19" s="2">
        <f t="shared" si="26"/>
        <v>13.35</v>
      </c>
      <c r="AD19" s="2">
        <v>0.354</v>
      </c>
      <c r="AE19" s="2">
        <f t="shared" si="27"/>
        <v>35.4</v>
      </c>
      <c r="AF19" s="2">
        <f t="shared" si="28"/>
        <v>42.75</v>
      </c>
      <c r="AH19" s="2">
        <v>0.484</v>
      </c>
      <c r="AI19" s="2">
        <f t="shared" si="29"/>
        <v>48.4</v>
      </c>
      <c r="AJ19" s="2">
        <f t="shared" si="30"/>
        <v>39</v>
      </c>
    </row>
    <row r="20" ht="14.25" customHeight="1">
      <c r="A20" s="2">
        <v>17.0</v>
      </c>
      <c r="B20" s="2" t="s">
        <v>23</v>
      </c>
      <c r="C20" s="2">
        <v>0.115</v>
      </c>
      <c r="D20" s="2">
        <f t="shared" si="1"/>
        <v>0.575</v>
      </c>
      <c r="E20" s="2">
        <f t="shared" si="2"/>
        <v>0.2654867257</v>
      </c>
      <c r="F20" s="2">
        <v>10.0</v>
      </c>
      <c r="G20" s="2" t="s">
        <v>19</v>
      </c>
      <c r="K20" s="2">
        <v>0.102</v>
      </c>
      <c r="L20" s="2">
        <f t="shared" si="18"/>
        <v>5.1</v>
      </c>
      <c r="M20" s="2">
        <f t="shared" si="19"/>
        <v>0.8571428571</v>
      </c>
      <c r="O20" s="2">
        <v>0.036</v>
      </c>
      <c r="P20" s="2">
        <f t="shared" si="20"/>
        <v>0.18</v>
      </c>
      <c r="R20" s="2">
        <v>0.135</v>
      </c>
      <c r="S20" s="2">
        <f t="shared" si="21"/>
        <v>6.75</v>
      </c>
      <c r="T20" s="2">
        <f t="shared" si="22"/>
        <v>19.65</v>
      </c>
      <c r="V20" s="2">
        <v>0.326</v>
      </c>
      <c r="W20" s="2">
        <f t="shared" si="23"/>
        <v>16.3</v>
      </c>
      <c r="X20" s="2">
        <f t="shared" si="24"/>
        <v>28.65</v>
      </c>
      <c r="Z20" s="2">
        <v>0.405</v>
      </c>
      <c r="AA20" s="2">
        <f t="shared" si="25"/>
        <v>20.25</v>
      </c>
      <c r="AB20" s="2">
        <f t="shared" si="26"/>
        <v>11.85</v>
      </c>
      <c r="AD20" s="2">
        <v>0.325</v>
      </c>
      <c r="AE20" s="2">
        <f t="shared" si="27"/>
        <v>32.5</v>
      </c>
      <c r="AF20" s="2">
        <f t="shared" si="28"/>
        <v>36.75</v>
      </c>
      <c r="AH20" s="2">
        <v>0.416</v>
      </c>
      <c r="AI20" s="2">
        <f t="shared" si="29"/>
        <v>41.6</v>
      </c>
      <c r="AJ20" s="2">
        <f t="shared" si="30"/>
        <v>27.3</v>
      </c>
    </row>
    <row r="21" ht="14.25" customHeight="1">
      <c r="A21" s="2">
        <v>18.0</v>
      </c>
      <c r="B21" s="2" t="s">
        <v>24</v>
      </c>
      <c r="C21" s="2">
        <v>0.085</v>
      </c>
      <c r="D21" s="2">
        <f t="shared" si="1"/>
        <v>0.425</v>
      </c>
      <c r="E21" s="2">
        <f t="shared" si="2"/>
        <v>0.3614457831</v>
      </c>
      <c r="F21" s="2">
        <v>11.0</v>
      </c>
      <c r="G21" s="2" t="s">
        <v>20</v>
      </c>
      <c r="K21" s="2">
        <v>0.158</v>
      </c>
      <c r="L21" s="2">
        <f t="shared" si="18"/>
        <v>7.9</v>
      </c>
      <c r="M21" s="2">
        <f t="shared" si="19"/>
        <v>0.5454545455</v>
      </c>
      <c r="O21" s="2">
        <v>0.033</v>
      </c>
      <c r="P21" s="2">
        <f t="shared" si="20"/>
        <v>0.165</v>
      </c>
      <c r="R21" s="2">
        <v>0.088</v>
      </c>
      <c r="S21" s="2">
        <f t="shared" si="21"/>
        <v>4.4</v>
      </c>
      <c r="T21" s="2">
        <f t="shared" si="22"/>
        <v>12.6</v>
      </c>
      <c r="V21" s="2">
        <v>0.291</v>
      </c>
      <c r="W21" s="2">
        <f t="shared" si="23"/>
        <v>14.55</v>
      </c>
      <c r="X21" s="2">
        <f t="shared" si="24"/>
        <v>30.45</v>
      </c>
      <c r="Z21" s="2">
        <v>0.324</v>
      </c>
      <c r="AA21" s="2">
        <f t="shared" si="25"/>
        <v>16.2</v>
      </c>
      <c r="AB21" s="2">
        <f t="shared" si="26"/>
        <v>4.95</v>
      </c>
      <c r="AD21" s="2">
        <v>0.288</v>
      </c>
      <c r="AE21" s="2">
        <f t="shared" si="27"/>
        <v>28.8</v>
      </c>
      <c r="AF21" s="2">
        <f t="shared" si="28"/>
        <v>37.8</v>
      </c>
      <c r="AH21" s="2">
        <v>0.368</v>
      </c>
      <c r="AI21" s="2">
        <f t="shared" si="29"/>
        <v>36.8</v>
      </c>
      <c r="AJ21" s="2">
        <f t="shared" si="30"/>
        <v>24</v>
      </c>
    </row>
    <row r="22" ht="14.25" customHeight="1">
      <c r="A22" s="2">
        <v>19.0</v>
      </c>
      <c r="B22" s="2" t="s">
        <v>25</v>
      </c>
      <c r="C22" s="2">
        <v>0.089</v>
      </c>
      <c r="D22" s="2">
        <f t="shared" si="1"/>
        <v>0.445</v>
      </c>
      <c r="E22" s="2">
        <f t="shared" si="2"/>
        <v>0.3448275862</v>
      </c>
      <c r="F22" s="2">
        <v>12.0</v>
      </c>
      <c r="G22" s="2" t="s">
        <v>21</v>
      </c>
      <c r="K22" s="2">
        <v>0.127</v>
      </c>
      <c r="L22" s="2">
        <f t="shared" si="18"/>
        <v>6.35</v>
      </c>
      <c r="M22" s="2">
        <f t="shared" si="19"/>
        <v>0.6829268293</v>
      </c>
      <c r="O22" s="2">
        <v>0.034</v>
      </c>
      <c r="P22" s="2">
        <f t="shared" si="20"/>
        <v>0.17</v>
      </c>
      <c r="R22" s="2">
        <v>0.096</v>
      </c>
      <c r="S22" s="2">
        <f t="shared" si="21"/>
        <v>4.8</v>
      </c>
      <c r="T22" s="2">
        <f t="shared" si="22"/>
        <v>13.8</v>
      </c>
      <c r="V22" s="2">
        <v>0.292</v>
      </c>
      <c r="W22" s="2">
        <f t="shared" si="23"/>
        <v>14.6</v>
      </c>
      <c r="X22" s="2">
        <f t="shared" si="24"/>
        <v>29.4</v>
      </c>
      <c r="Z22" s="2">
        <v>0.336</v>
      </c>
      <c r="AA22" s="2">
        <f t="shared" si="25"/>
        <v>16.8</v>
      </c>
      <c r="AB22" s="2">
        <f t="shared" si="26"/>
        <v>6.6</v>
      </c>
      <c r="AD22" s="2">
        <v>0.289</v>
      </c>
      <c r="AE22" s="2">
        <f t="shared" si="27"/>
        <v>28.9</v>
      </c>
      <c r="AF22" s="2">
        <f t="shared" si="28"/>
        <v>36.3</v>
      </c>
      <c r="AH22" s="2">
        <v>0.371</v>
      </c>
      <c r="AI22" s="2">
        <f t="shared" si="29"/>
        <v>37.1</v>
      </c>
      <c r="AJ22" s="2">
        <f t="shared" si="30"/>
        <v>24.6</v>
      </c>
    </row>
    <row r="23" ht="14.25" customHeight="1">
      <c r="A23" s="2">
        <v>20.0</v>
      </c>
      <c r="B23" s="2" t="s">
        <v>26</v>
      </c>
      <c r="C23" s="2">
        <v>0.102</v>
      </c>
      <c r="D23" s="2">
        <f t="shared" si="1"/>
        <v>0.51</v>
      </c>
      <c r="E23" s="2">
        <f t="shared" si="2"/>
        <v>0.3</v>
      </c>
      <c r="F23" s="2">
        <v>16.0</v>
      </c>
      <c r="G23" s="2" t="s">
        <v>22</v>
      </c>
      <c r="K23" s="2">
        <v>0.118</v>
      </c>
      <c r="L23" s="2">
        <f t="shared" si="18"/>
        <v>5.9</v>
      </c>
      <c r="M23" s="2">
        <f t="shared" si="19"/>
        <v>0.7368421053</v>
      </c>
      <c r="O23" s="2">
        <v>0.034</v>
      </c>
      <c r="P23" s="2">
        <f t="shared" si="20"/>
        <v>0.17</v>
      </c>
      <c r="R23" s="2">
        <v>0.041</v>
      </c>
      <c r="S23" s="2">
        <f t="shared" si="21"/>
        <v>2.05</v>
      </c>
      <c r="T23" s="2">
        <f t="shared" si="22"/>
        <v>5.55</v>
      </c>
      <c r="V23" s="2">
        <v>0.163</v>
      </c>
      <c r="W23" s="2">
        <f t="shared" si="23"/>
        <v>8.15</v>
      </c>
      <c r="X23" s="2">
        <f t="shared" si="24"/>
        <v>18.3</v>
      </c>
      <c r="Z23" s="2">
        <v>0.197</v>
      </c>
      <c r="AA23" s="2">
        <f t="shared" si="25"/>
        <v>9.85</v>
      </c>
      <c r="AB23" s="2">
        <f t="shared" si="26"/>
        <v>5.1</v>
      </c>
      <c r="AD23" s="2">
        <v>0.129</v>
      </c>
      <c r="AE23" s="2">
        <f t="shared" si="27"/>
        <v>12.9</v>
      </c>
      <c r="AF23" s="2">
        <f t="shared" si="28"/>
        <v>9.15</v>
      </c>
      <c r="AH23" s="2">
        <v>0.123</v>
      </c>
      <c r="AI23" s="2">
        <f t="shared" si="29"/>
        <v>12.3</v>
      </c>
      <c r="AJ23" s="2">
        <f t="shared" si="30"/>
        <v>-1.8</v>
      </c>
    </row>
    <row r="24" ht="14.25" customHeight="1">
      <c r="A24" s="2">
        <v>21.0</v>
      </c>
      <c r="B24" s="2" t="s">
        <v>27</v>
      </c>
      <c r="C24" s="2">
        <v>0.144</v>
      </c>
      <c r="D24" s="2">
        <f t="shared" si="1"/>
        <v>0.72</v>
      </c>
      <c r="E24" s="2">
        <f t="shared" si="2"/>
        <v>0.2112676056</v>
      </c>
      <c r="F24" s="2">
        <v>17.0</v>
      </c>
      <c r="G24" s="2" t="s">
        <v>23</v>
      </c>
      <c r="K24" s="2">
        <v>0.118</v>
      </c>
      <c r="L24" s="2">
        <f t="shared" si="18"/>
        <v>5.9</v>
      </c>
      <c r="M24" s="2">
        <f t="shared" si="19"/>
        <v>0.7368421053</v>
      </c>
      <c r="O24" s="2">
        <v>0.034</v>
      </c>
      <c r="P24" s="2">
        <f t="shared" si="20"/>
        <v>0.17</v>
      </c>
      <c r="R24" s="2">
        <v>0.04</v>
      </c>
      <c r="S24" s="2">
        <f t="shared" si="21"/>
        <v>2</v>
      </c>
      <c r="T24" s="2">
        <f t="shared" si="22"/>
        <v>5.4</v>
      </c>
      <c r="V24" s="2">
        <v>0.143</v>
      </c>
      <c r="W24" s="2">
        <f t="shared" si="23"/>
        <v>7.15</v>
      </c>
      <c r="X24" s="2">
        <f t="shared" si="24"/>
        <v>15.45</v>
      </c>
      <c r="Z24" s="2">
        <v>0.188</v>
      </c>
      <c r="AA24" s="2">
        <f t="shared" si="25"/>
        <v>9.4</v>
      </c>
      <c r="AB24" s="2">
        <f t="shared" si="26"/>
        <v>6.75</v>
      </c>
      <c r="AD24" s="2">
        <v>0.125</v>
      </c>
      <c r="AE24" s="2">
        <f t="shared" si="27"/>
        <v>12.5</v>
      </c>
      <c r="AF24" s="2">
        <f t="shared" si="28"/>
        <v>9.3</v>
      </c>
      <c r="AH24" s="2">
        <v>0.123</v>
      </c>
      <c r="AI24" s="2">
        <f t="shared" si="29"/>
        <v>12.3</v>
      </c>
      <c r="AJ24" s="2">
        <f t="shared" si="30"/>
        <v>-0.6</v>
      </c>
    </row>
    <row r="25" ht="14.25" customHeight="1">
      <c r="A25" s="2">
        <v>22.0</v>
      </c>
      <c r="B25" s="2" t="s">
        <v>28</v>
      </c>
      <c r="C25" s="2">
        <v>0.122</v>
      </c>
      <c r="D25" s="2">
        <f t="shared" si="1"/>
        <v>0.61</v>
      </c>
      <c r="E25" s="2">
        <f t="shared" si="2"/>
        <v>0.25</v>
      </c>
      <c r="F25" s="2">
        <v>18.0</v>
      </c>
      <c r="G25" s="2" t="s">
        <v>24</v>
      </c>
      <c r="K25" s="2">
        <v>0.154</v>
      </c>
      <c r="L25" s="2">
        <f t="shared" si="18"/>
        <v>7.7</v>
      </c>
      <c r="M25" s="2">
        <f t="shared" si="19"/>
        <v>0.56</v>
      </c>
      <c r="O25" s="2">
        <v>0.034</v>
      </c>
      <c r="P25" s="2">
        <f t="shared" si="20"/>
        <v>0.17</v>
      </c>
      <c r="R25" s="2">
        <v>0.044</v>
      </c>
      <c r="S25" s="2">
        <f t="shared" si="21"/>
        <v>2.2</v>
      </c>
      <c r="T25" s="2">
        <f t="shared" si="22"/>
        <v>6</v>
      </c>
      <c r="V25" s="2">
        <v>0.14</v>
      </c>
      <c r="W25" s="2">
        <f t="shared" si="23"/>
        <v>7</v>
      </c>
      <c r="X25" s="2">
        <f t="shared" si="24"/>
        <v>14.4</v>
      </c>
      <c r="Z25" s="2">
        <v>0.198</v>
      </c>
      <c r="AA25" s="2">
        <f t="shared" si="25"/>
        <v>9.9</v>
      </c>
      <c r="AB25" s="2">
        <f t="shared" si="26"/>
        <v>8.7</v>
      </c>
      <c r="AD25" s="2">
        <v>0.115</v>
      </c>
      <c r="AE25" s="2">
        <f t="shared" si="27"/>
        <v>11.5</v>
      </c>
      <c r="AF25" s="2">
        <f t="shared" si="28"/>
        <v>4.8</v>
      </c>
      <c r="AH25" s="2">
        <v>0.128</v>
      </c>
      <c r="AI25" s="2">
        <f t="shared" si="29"/>
        <v>12.8</v>
      </c>
      <c r="AJ25" s="2">
        <f t="shared" si="30"/>
        <v>3.9</v>
      </c>
    </row>
    <row r="26" ht="14.25" customHeight="1">
      <c r="A26" s="2">
        <v>23.0</v>
      </c>
      <c r="B26" s="2" t="s">
        <v>29</v>
      </c>
      <c r="C26" s="2">
        <v>0.13</v>
      </c>
      <c r="D26" s="2">
        <f t="shared" si="1"/>
        <v>0.65</v>
      </c>
      <c r="E26" s="2">
        <f t="shared" si="2"/>
        <v>0.234375</v>
      </c>
      <c r="F26" s="2">
        <v>19.0</v>
      </c>
      <c r="G26" s="2" t="s">
        <v>25</v>
      </c>
      <c r="K26" s="2">
        <v>0.112</v>
      </c>
      <c r="L26" s="2">
        <f t="shared" si="18"/>
        <v>5.6</v>
      </c>
      <c r="M26" s="2">
        <f t="shared" si="19"/>
        <v>0.7777777778</v>
      </c>
      <c r="O26" s="2">
        <v>0.029</v>
      </c>
      <c r="P26" s="2">
        <f t="shared" si="20"/>
        <v>0.145</v>
      </c>
      <c r="R26" s="2">
        <v>0.033</v>
      </c>
      <c r="S26" s="2">
        <f t="shared" si="21"/>
        <v>1.65</v>
      </c>
      <c r="T26" s="2">
        <f t="shared" si="22"/>
        <v>4.35</v>
      </c>
      <c r="V26" s="2">
        <v>0.107</v>
      </c>
      <c r="W26" s="2">
        <f t="shared" si="23"/>
        <v>5.35</v>
      </c>
      <c r="X26" s="2">
        <f t="shared" si="24"/>
        <v>11.1</v>
      </c>
      <c r="Z26" s="2">
        <v>0.125</v>
      </c>
      <c r="AA26" s="2">
        <f t="shared" si="25"/>
        <v>6.25</v>
      </c>
      <c r="AB26" s="2">
        <f t="shared" si="26"/>
        <v>2.7</v>
      </c>
      <c r="AD26" s="2">
        <v>0.075</v>
      </c>
      <c r="AE26" s="2">
        <f t="shared" si="27"/>
        <v>7.5</v>
      </c>
      <c r="AF26" s="2">
        <f t="shared" si="28"/>
        <v>3.75</v>
      </c>
      <c r="AH26" s="2">
        <v>0.078</v>
      </c>
      <c r="AI26" s="2">
        <f t="shared" si="29"/>
        <v>7.8</v>
      </c>
      <c r="AJ26" s="2">
        <f t="shared" si="30"/>
        <v>0.9</v>
      </c>
    </row>
    <row r="27" ht="14.25" customHeight="1">
      <c r="A27" s="2">
        <v>24.0</v>
      </c>
      <c r="B27" s="2" t="s">
        <v>30</v>
      </c>
      <c r="C27" s="2">
        <v>0.171</v>
      </c>
      <c r="D27" s="2">
        <f t="shared" si="1"/>
        <v>0.855</v>
      </c>
      <c r="E27" s="2">
        <f t="shared" si="2"/>
        <v>0.1775147929</v>
      </c>
      <c r="F27" s="2">
        <v>20.0</v>
      </c>
      <c r="G27" s="2" t="s">
        <v>26</v>
      </c>
      <c r="K27" s="2">
        <v>0.11</v>
      </c>
      <c r="L27" s="2">
        <f t="shared" si="18"/>
        <v>5.5</v>
      </c>
      <c r="M27" s="2">
        <f t="shared" si="19"/>
        <v>0.7924528302</v>
      </c>
      <c r="O27" s="2">
        <v>0.028</v>
      </c>
      <c r="P27" s="2">
        <f t="shared" si="20"/>
        <v>0.14</v>
      </c>
      <c r="R27" s="2">
        <v>0.036</v>
      </c>
      <c r="S27" s="2">
        <f t="shared" si="21"/>
        <v>1.8</v>
      </c>
      <c r="T27" s="2">
        <f t="shared" si="22"/>
        <v>4.8</v>
      </c>
      <c r="V27" s="2">
        <v>0.098</v>
      </c>
      <c r="W27" s="2">
        <f t="shared" si="23"/>
        <v>4.9</v>
      </c>
      <c r="X27" s="2">
        <f t="shared" si="24"/>
        <v>9.3</v>
      </c>
      <c r="Z27" s="2">
        <v>0.116</v>
      </c>
      <c r="AA27" s="2">
        <f t="shared" si="25"/>
        <v>5.8</v>
      </c>
      <c r="AB27" s="2">
        <f t="shared" si="26"/>
        <v>2.7</v>
      </c>
      <c r="AD27" s="2">
        <v>0.064</v>
      </c>
      <c r="AE27" s="2">
        <f t="shared" si="27"/>
        <v>6.4</v>
      </c>
      <c r="AF27" s="2">
        <f t="shared" si="28"/>
        <v>1.8</v>
      </c>
      <c r="AH27" s="2">
        <v>0.081</v>
      </c>
      <c r="AI27" s="2">
        <f t="shared" si="29"/>
        <v>8.1</v>
      </c>
      <c r="AJ27" s="2">
        <f t="shared" si="30"/>
        <v>5.1</v>
      </c>
    </row>
    <row r="28" ht="14.25" customHeight="1">
      <c r="F28" s="2">
        <v>21.0</v>
      </c>
      <c r="G28" s="2" t="s">
        <v>27</v>
      </c>
      <c r="K28" s="2">
        <v>0.119</v>
      </c>
      <c r="L28" s="2">
        <f t="shared" si="18"/>
        <v>5.95</v>
      </c>
      <c r="M28" s="2">
        <f t="shared" si="19"/>
        <v>0.7304347826</v>
      </c>
      <c r="O28" s="2">
        <v>0.028</v>
      </c>
      <c r="P28" s="2">
        <f t="shared" si="20"/>
        <v>0.14</v>
      </c>
      <c r="R28" s="2">
        <v>0.037</v>
      </c>
      <c r="S28" s="2">
        <f t="shared" si="21"/>
        <v>1.85</v>
      </c>
      <c r="T28" s="2">
        <f t="shared" si="22"/>
        <v>4.95</v>
      </c>
      <c r="V28" s="2">
        <v>0.101</v>
      </c>
      <c r="W28" s="2">
        <f t="shared" si="23"/>
        <v>5.05</v>
      </c>
      <c r="X28" s="2">
        <f t="shared" si="24"/>
        <v>9.6</v>
      </c>
      <c r="Z28" s="2">
        <v>0.123</v>
      </c>
      <c r="AA28" s="2">
        <f t="shared" si="25"/>
        <v>6.15</v>
      </c>
      <c r="AB28" s="2">
        <f t="shared" si="26"/>
        <v>3.3</v>
      </c>
      <c r="AD28" s="2">
        <v>0.065</v>
      </c>
      <c r="AE28" s="2">
        <f t="shared" si="27"/>
        <v>6.5</v>
      </c>
      <c r="AF28" s="2">
        <f t="shared" si="28"/>
        <v>1.05</v>
      </c>
      <c r="AH28" s="2">
        <v>0.08</v>
      </c>
      <c r="AI28" s="2">
        <f t="shared" si="29"/>
        <v>8</v>
      </c>
      <c r="AJ28" s="2">
        <f t="shared" si="30"/>
        <v>4.5</v>
      </c>
    </row>
    <row r="29" ht="14.25" customHeight="1">
      <c r="F29" s="2">
        <v>22.0</v>
      </c>
      <c r="G29" s="2" t="s">
        <v>28</v>
      </c>
      <c r="K29" s="2">
        <v>0.13</v>
      </c>
      <c r="L29" s="2">
        <f t="shared" si="18"/>
        <v>6.5</v>
      </c>
      <c r="M29" s="2">
        <f t="shared" si="19"/>
        <v>0.6666666667</v>
      </c>
      <c r="O29" s="2">
        <v>0.028</v>
      </c>
      <c r="P29" s="2">
        <f t="shared" si="20"/>
        <v>0.14</v>
      </c>
      <c r="R29" s="2">
        <v>0.154</v>
      </c>
      <c r="S29" s="2">
        <f t="shared" si="21"/>
        <v>7.7</v>
      </c>
      <c r="T29" s="2">
        <f t="shared" si="22"/>
        <v>22.5</v>
      </c>
      <c r="V29" s="2">
        <v>0.24</v>
      </c>
      <c r="W29" s="2">
        <f t="shared" si="23"/>
        <v>12</v>
      </c>
      <c r="X29" s="2">
        <f t="shared" si="24"/>
        <v>12.9</v>
      </c>
      <c r="Z29" s="2">
        <v>0.354</v>
      </c>
      <c r="AA29" s="2">
        <f t="shared" si="25"/>
        <v>17.7</v>
      </c>
      <c r="AB29" s="2">
        <f t="shared" si="26"/>
        <v>17.1</v>
      </c>
      <c r="AD29" s="2">
        <v>0.273</v>
      </c>
      <c r="AE29" s="2">
        <f t="shared" si="27"/>
        <v>27.3</v>
      </c>
      <c r="AF29" s="2">
        <f t="shared" si="28"/>
        <v>28.8</v>
      </c>
      <c r="AH29" s="2">
        <v>0.408</v>
      </c>
      <c r="AI29" s="2">
        <f t="shared" si="29"/>
        <v>40.8</v>
      </c>
      <c r="AJ29" s="2">
        <f t="shared" si="30"/>
        <v>40.5</v>
      </c>
    </row>
    <row r="30" ht="14.25" customHeight="1">
      <c r="F30" s="2">
        <v>23.0</v>
      </c>
      <c r="G30" s="2" t="s">
        <v>29</v>
      </c>
      <c r="K30" s="2">
        <v>0.158</v>
      </c>
      <c r="L30" s="2">
        <f t="shared" si="18"/>
        <v>7.9</v>
      </c>
      <c r="M30" s="2">
        <f t="shared" si="19"/>
        <v>0.5454545455</v>
      </c>
      <c r="O30" s="2">
        <v>0.033</v>
      </c>
      <c r="P30" s="2">
        <f t="shared" si="20"/>
        <v>0.165</v>
      </c>
      <c r="R30" s="2">
        <v>0.166</v>
      </c>
      <c r="S30" s="2">
        <f t="shared" si="21"/>
        <v>8.3</v>
      </c>
      <c r="T30" s="2">
        <f t="shared" si="22"/>
        <v>24.3</v>
      </c>
      <c r="V30" s="2">
        <v>0.268</v>
      </c>
      <c r="W30" s="2">
        <f t="shared" si="23"/>
        <v>13.4</v>
      </c>
      <c r="X30" s="2">
        <f t="shared" si="24"/>
        <v>15.3</v>
      </c>
      <c r="Z30" s="2">
        <v>0.367</v>
      </c>
      <c r="AA30" s="2">
        <f t="shared" si="25"/>
        <v>18.35</v>
      </c>
      <c r="AB30" s="2">
        <f t="shared" si="26"/>
        <v>14.85</v>
      </c>
      <c r="AD30" s="2">
        <v>0.298</v>
      </c>
      <c r="AE30" s="2">
        <f t="shared" si="27"/>
        <v>29.8</v>
      </c>
      <c r="AF30" s="2">
        <f t="shared" si="28"/>
        <v>34.35</v>
      </c>
      <c r="AH30" s="2">
        <v>0.406</v>
      </c>
      <c r="AI30" s="2">
        <f t="shared" si="29"/>
        <v>40.6</v>
      </c>
      <c r="AJ30" s="2">
        <f t="shared" si="30"/>
        <v>32.4</v>
      </c>
    </row>
    <row r="31" ht="14.25" customHeight="1">
      <c r="F31" s="2">
        <v>24.0</v>
      </c>
      <c r="G31" s="2" t="s">
        <v>30</v>
      </c>
      <c r="K31" s="2">
        <v>0.159</v>
      </c>
      <c r="L31" s="2">
        <f t="shared" si="18"/>
        <v>7.95</v>
      </c>
      <c r="M31" s="2">
        <f t="shared" si="19"/>
        <v>0.5419354839</v>
      </c>
      <c r="O31" s="2">
        <v>0.029</v>
      </c>
      <c r="P31" s="2">
        <f t="shared" si="20"/>
        <v>0.145</v>
      </c>
      <c r="R31" s="2">
        <v>0.151</v>
      </c>
      <c r="S31" s="2">
        <f t="shared" si="21"/>
        <v>7.55</v>
      </c>
      <c r="T31" s="2">
        <f t="shared" si="22"/>
        <v>22.05</v>
      </c>
      <c r="V31" s="2">
        <v>0.263</v>
      </c>
      <c r="W31" s="2">
        <f t="shared" si="23"/>
        <v>13.15</v>
      </c>
      <c r="X31" s="2">
        <f t="shared" si="24"/>
        <v>16.8</v>
      </c>
      <c r="Z31" s="2">
        <v>0.369</v>
      </c>
      <c r="AA31" s="2">
        <f t="shared" si="25"/>
        <v>18.45</v>
      </c>
      <c r="AB31" s="2">
        <f t="shared" si="26"/>
        <v>15.9</v>
      </c>
      <c r="AD31" s="2">
        <v>0.315</v>
      </c>
      <c r="AE31" s="2">
        <f t="shared" si="27"/>
        <v>31.5</v>
      </c>
      <c r="AF31" s="2">
        <f t="shared" si="28"/>
        <v>39.15</v>
      </c>
      <c r="AH31" s="2">
        <v>0.415</v>
      </c>
      <c r="AI31" s="2">
        <f t="shared" si="29"/>
        <v>41.5</v>
      </c>
      <c r="AJ31" s="2">
        <f t="shared" si="30"/>
        <v>30</v>
      </c>
    </row>
    <row r="32" ht="14.25" customHeight="1"/>
    <row r="33" ht="14.25" customHeight="1"/>
    <row r="34" ht="14.25" customHeight="1">
      <c r="P34" s="2">
        <v>0.0</v>
      </c>
      <c r="Q34" s="2">
        <v>24.0</v>
      </c>
      <c r="R34" s="2">
        <v>48.0</v>
      </c>
      <c r="S34" s="2">
        <v>72.0</v>
      </c>
      <c r="T34" s="2">
        <v>96.0</v>
      </c>
      <c r="U34" s="2">
        <v>120.0</v>
      </c>
    </row>
    <row r="35" ht="14.25" customHeight="1">
      <c r="O35" s="2" t="s">
        <v>31</v>
      </c>
      <c r="P35" s="2">
        <f>AVERAGE(P4:P6)</f>
        <v>0.2083333333</v>
      </c>
      <c r="Q35" s="2">
        <f>AVERAGE(S4:S6)</f>
        <v>9.933333333</v>
      </c>
      <c r="R35" s="2">
        <f>AVERAGE(W4:W6)</f>
        <v>12.03333333</v>
      </c>
      <c r="S35" s="2">
        <f>AVERAGE(AA4:AA6)</f>
        <v>16.78333333</v>
      </c>
      <c r="T35" s="2">
        <f>AVERAGE(AE4:AE6)</f>
        <v>33.36666667</v>
      </c>
      <c r="U35" s="2">
        <f>AVERAGE(AI4:AI6)</f>
        <v>42.16666667</v>
      </c>
      <c r="V35" s="2">
        <f>STDEVA(P4:P6)</f>
        <v>0.01527525232</v>
      </c>
      <c r="W35" s="2">
        <f>STDEVA(S4:S6)</f>
        <v>0.4725815626</v>
      </c>
      <c r="X35" s="2">
        <f>STDEVA(W4:W6)</f>
        <v>0.7371114796</v>
      </c>
      <c r="Y35" s="2">
        <f>STDEVA(AA4:AA6)</f>
        <v>1.861003314</v>
      </c>
      <c r="Z35" s="2">
        <f>STDEVA(AE4:AE6)</f>
        <v>3.234707612</v>
      </c>
      <c r="AA35" s="2">
        <f>STDEVA(AI4:AI6)</f>
        <v>6.62595905</v>
      </c>
    </row>
    <row r="36" ht="14.25" customHeight="1">
      <c r="O36" s="2" t="s">
        <v>32</v>
      </c>
      <c r="P36" s="2">
        <f>AVERAGE(P14:P16)</f>
        <v>0.1833333333</v>
      </c>
      <c r="Q36" s="2">
        <f>AVERAGE(S14:S16)</f>
        <v>6.066666667</v>
      </c>
      <c r="R36" s="2">
        <f>AVERAGE(W14:W16)</f>
        <v>14.91666667</v>
      </c>
      <c r="S36" s="2">
        <f>AVERAGE(AA14:AA16)</f>
        <v>21.5</v>
      </c>
      <c r="T36" s="2">
        <f>AVERAGE(AE14:AE16)</f>
        <v>37.2</v>
      </c>
      <c r="U36" s="2">
        <f>AVERAGE(AI14:AI16)</f>
        <v>50.46666667</v>
      </c>
      <c r="V36" s="2">
        <f>STDEVA(P14:P16)</f>
        <v>0.002886751346</v>
      </c>
      <c r="W36" s="2">
        <f>STDEVA(S14:S16)</f>
        <v>3.403062346</v>
      </c>
      <c r="X36" s="2">
        <f>STDEVA(W14:W16)</f>
        <v>2.055075019</v>
      </c>
      <c r="Y36" s="2">
        <f>STDEVA(AA14:AA16)</f>
        <v>0.8321658489</v>
      </c>
      <c r="Z36" s="2">
        <f>STDEVA(AE14:AE16)</f>
        <v>0.5196152423</v>
      </c>
      <c r="AA36" s="2">
        <f>STDEVA(AI14:AI16)</f>
        <v>1.159022577</v>
      </c>
    </row>
    <row r="37" ht="14.25" customHeight="1">
      <c r="O37" s="2" t="s">
        <v>33</v>
      </c>
      <c r="P37" s="2">
        <f>AVERAGE(P17:P19)</f>
        <v>0.18</v>
      </c>
      <c r="Q37" s="2">
        <f>AVERAGE(S17:S19)</f>
        <v>9.5</v>
      </c>
      <c r="R37" s="2">
        <f>AVERAGE(W17:W19)</f>
        <v>16.26666667</v>
      </c>
      <c r="S37" s="2">
        <f>AVERAGE(AA17:AA19)</f>
        <v>21.01666667</v>
      </c>
      <c r="T37" s="2">
        <f>AVERAGE(AE17:AE19)</f>
        <v>35.36666667</v>
      </c>
      <c r="U37" s="2">
        <f>AVERAGE(AI17:AI19)</f>
        <v>48.93333333</v>
      </c>
      <c r="V37" s="2">
        <f>STDEVA(P17:P19)</f>
        <v>0.01322875656</v>
      </c>
      <c r="W37" s="2">
        <f>STDEVA(S17:S19)</f>
        <v>0.4444097209</v>
      </c>
      <c r="X37" s="2">
        <f>STDEVA(W17:W19)</f>
        <v>0.4041451884</v>
      </c>
      <c r="Y37" s="2">
        <f>STDEVA(AA17:AA19)</f>
        <v>0.2309401077</v>
      </c>
      <c r="Z37" s="2">
        <f>STDEVA(AE17:AE19)</f>
        <v>1.950213664</v>
      </c>
      <c r="AA37" s="2">
        <f>STDEVA(AI17:AI19)</f>
        <v>0.6806859286</v>
      </c>
    </row>
    <row r="38" ht="14.25" customHeight="1"/>
    <row r="39" ht="14.25" customHeight="1">
      <c r="P39" s="2">
        <v>0.0</v>
      </c>
      <c r="Q39" s="2">
        <v>24.0</v>
      </c>
      <c r="R39" s="2">
        <v>48.0</v>
      </c>
      <c r="S39" s="2">
        <v>72.0</v>
      </c>
      <c r="T39" s="2">
        <v>96.0</v>
      </c>
      <c r="U39" s="2">
        <v>120.0</v>
      </c>
    </row>
    <row r="40" ht="14.25" customHeight="1">
      <c r="O40" s="2" t="s">
        <v>34</v>
      </c>
      <c r="P40" s="2">
        <f>AVERAGE(P26:P28)</f>
        <v>0.1416666667</v>
      </c>
      <c r="Q40" s="2">
        <f>AVERAGE(S26:S28)</f>
        <v>1.766666667</v>
      </c>
      <c r="R40" s="2">
        <f>AVERAGE(W26:W28)</f>
        <v>5.1</v>
      </c>
      <c r="S40" s="2">
        <f>AVERAGE(AA26:AA28)</f>
        <v>6.066666667</v>
      </c>
      <c r="T40" s="2">
        <f>AVERAGE(AE26:AE28)</f>
        <v>6.8</v>
      </c>
      <c r="U40" s="2">
        <f>AVERAGE(AI26:AI28)</f>
        <v>7.966666667</v>
      </c>
      <c r="V40" s="2">
        <f>STDEVA(P26:P28)</f>
        <v>0.002886751346</v>
      </c>
      <c r="W40" s="2">
        <f>STDEVA(S26:S28)</f>
        <v>0.1040833</v>
      </c>
      <c r="X40" s="2">
        <f>STDEVA(W26:W28)</f>
        <v>0.2291287847</v>
      </c>
      <c r="Y40" s="2">
        <f>STDEVA(AA26:AA28)</f>
        <v>0.2362907813</v>
      </c>
      <c r="Z40" s="2">
        <f>STDEVA(AE26:AE28)</f>
        <v>0.608276253</v>
      </c>
      <c r="AA40" s="2">
        <f>STDEVA(AI26:AI28)</f>
        <v>0.1527525232</v>
      </c>
    </row>
    <row r="41" ht="14.25" customHeight="1">
      <c r="O41" s="4" t="s">
        <v>35</v>
      </c>
      <c r="P41" s="2">
        <f>AVERAGE(P29:P31)</f>
        <v>0.15</v>
      </c>
      <c r="Q41" s="2">
        <f>AVERAGE(S29:S31)</f>
        <v>7.85</v>
      </c>
      <c r="R41" s="2">
        <f>AVERAGE(W29:W31)</f>
        <v>12.85</v>
      </c>
      <c r="S41" s="2">
        <f>AVERAGE(AA29:AA31)</f>
        <v>18.16666667</v>
      </c>
      <c r="T41" s="2">
        <f>AVERAGE(AE29:AE31)</f>
        <v>29.53333333</v>
      </c>
      <c r="U41" s="2">
        <f>AVERAGE(AI29:AI31)</f>
        <v>40.96666667</v>
      </c>
      <c r="V41" s="2">
        <f>STDEVA(P29:P31)</f>
        <v>0.01322875656</v>
      </c>
      <c r="W41" s="2">
        <f>STDEVA(S29:S31)</f>
        <v>0.3968626967</v>
      </c>
      <c r="X41" s="2">
        <f>STDEVA(W29:W31)</f>
        <v>0.7466592262</v>
      </c>
      <c r="Y41" s="2">
        <f>STDEVA(AA29:AA31)</f>
        <v>0.4072263908</v>
      </c>
      <c r="Z41" s="2">
        <f>STDEVA(AE29:AE31)</f>
        <v>2.11266025</v>
      </c>
      <c r="AA41" s="2">
        <f>STDEVA(AI29:AI31)</f>
        <v>0.4725815626</v>
      </c>
    </row>
    <row r="42" ht="14.25" customHeight="1">
      <c r="O42" s="5" t="s">
        <v>36</v>
      </c>
    </row>
    <row r="43" ht="14.25" customHeight="1">
      <c r="P43" s="2">
        <v>0.0</v>
      </c>
      <c r="Q43" s="2">
        <v>24.0</v>
      </c>
      <c r="R43" s="2">
        <v>48.0</v>
      </c>
      <c r="S43" s="2">
        <v>72.0</v>
      </c>
      <c r="T43" s="2">
        <v>96.0</v>
      </c>
      <c r="U43" s="2">
        <v>120.0</v>
      </c>
    </row>
    <row r="44" ht="14.25" customHeight="1">
      <c r="O44" s="2" t="s">
        <v>37</v>
      </c>
      <c r="P44" s="2">
        <f>AVERAGE(P7:P9)</f>
        <v>0.1983333333</v>
      </c>
      <c r="Q44" s="2">
        <f>AVERAGE(S7:S9)</f>
        <v>10.01666667</v>
      </c>
      <c r="R44" s="2">
        <f>AVERAGE(W7:W9)</f>
        <v>12.4</v>
      </c>
      <c r="S44" s="2">
        <f>AVERAGE(AA7:AA9)</f>
        <v>18.76666667</v>
      </c>
      <c r="T44" s="2">
        <f>AVERAGE(AE7:AE9)</f>
        <v>28.06666667</v>
      </c>
      <c r="U44" s="2">
        <f>AVERAGE(AI7:AI9)</f>
        <v>29.96666667</v>
      </c>
      <c r="V44" s="2">
        <f>STDEVA(P7:P9)</f>
        <v>0.007637626158</v>
      </c>
      <c r="W44" s="2">
        <f>STDEVA(S7:S9)</f>
        <v>1.941863366</v>
      </c>
      <c r="X44" s="2">
        <f>STDEVA(W7:W9)</f>
        <v>1.153256259</v>
      </c>
      <c r="Y44" s="2">
        <f>STDEVA(AA7:AA9)</f>
        <v>1.338220211</v>
      </c>
      <c r="Z44" s="2">
        <f>STDEVA(AE7:AE9)</f>
        <v>2.683902631</v>
      </c>
      <c r="AA44" s="2">
        <f>STDEVA(AI7:AI9)</f>
        <v>4.628534685</v>
      </c>
    </row>
    <row r="45" ht="14.25" customHeight="1">
      <c r="O45" s="2" t="s">
        <v>38</v>
      </c>
      <c r="P45" s="2">
        <f>AVERAGE(P23:P25)</f>
        <v>0.17</v>
      </c>
      <c r="Q45" s="2">
        <f>AVERAGE(S23:S25)</f>
        <v>2.083333333</v>
      </c>
      <c r="R45" s="2">
        <f>AVERAGE(W23:W25)</f>
        <v>7.433333333</v>
      </c>
      <c r="S45" s="2">
        <f>AVERAGE(AA23:AA25)</f>
        <v>9.716666667</v>
      </c>
      <c r="T45" s="2">
        <f>AVERAGE(AE23:AE25)</f>
        <v>12.3</v>
      </c>
      <c r="U45" s="2">
        <f>AVERAGE(AI23:AI25)</f>
        <v>12.46666667</v>
      </c>
      <c r="V45" s="2">
        <f>STDEVA(P23:P25)</f>
        <v>0</v>
      </c>
      <c r="W45" s="2">
        <f>STDEVA(S23:S25)</f>
        <v>0.1040833</v>
      </c>
      <c r="X45" s="2">
        <f>STDEVA(W23:W25)</f>
        <v>0.6251666445</v>
      </c>
      <c r="Y45" s="2">
        <f>STDEVA(AA23:AA25)</f>
        <v>0.2753785274</v>
      </c>
      <c r="Z45" s="2">
        <f>STDEVA(AE23:AE25)</f>
        <v>0.7211102551</v>
      </c>
      <c r="AA45" s="2">
        <f>STDEVA(AI23:AI25)</f>
        <v>0.2886751346</v>
      </c>
    </row>
    <row r="46" ht="14.25" customHeight="1"/>
    <row r="47" ht="14.25" customHeight="1">
      <c r="P47" s="2">
        <v>0.0</v>
      </c>
      <c r="Q47" s="2">
        <v>24.0</v>
      </c>
      <c r="R47" s="2">
        <v>48.0</v>
      </c>
      <c r="S47" s="2">
        <v>72.0</v>
      </c>
      <c r="T47" s="2">
        <v>96.0</v>
      </c>
      <c r="U47" s="2">
        <v>120.0</v>
      </c>
    </row>
    <row r="48" ht="14.25" customHeight="1">
      <c r="O48" s="2" t="s">
        <v>39</v>
      </c>
      <c r="P48" s="2">
        <f>AVERAGE(P20:P22)</f>
        <v>0.1716666667</v>
      </c>
      <c r="Q48" s="2">
        <f>AVERAGE(S20:S22)</f>
        <v>5.316666667</v>
      </c>
      <c r="R48" s="2">
        <f>AVERAGE(W20:W22)</f>
        <v>15.15</v>
      </c>
      <c r="S48" s="2">
        <f>AVERAGE(AA20:AA22)</f>
        <v>17.75</v>
      </c>
      <c r="T48" s="2">
        <f>AVERAGE(AE20:AE22)</f>
        <v>30.06666667</v>
      </c>
      <c r="U48" s="2">
        <f>AVERAGE(AI20:AI22)</f>
        <v>38.5</v>
      </c>
      <c r="V48" s="2">
        <f>STDEVA(P20:P22)</f>
        <v>0.007637626158</v>
      </c>
      <c r="W48" s="2">
        <f>STDEVA(S20:S22)</f>
        <v>1.257311948</v>
      </c>
      <c r="X48" s="2">
        <f>STDEVA(W20:W22)</f>
        <v>0.9962429423</v>
      </c>
      <c r="Y48" s="2">
        <f>STDEVA(AA20:AA22)</f>
        <v>2.185749299</v>
      </c>
      <c r="Z48" s="2">
        <f>STDEVA(AE20:AE22)</f>
        <v>2.107921567</v>
      </c>
      <c r="AA48" s="2">
        <f>STDEVA(AI20:AI22)</f>
        <v>2.688865932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2024-08-29T06:24:05Z</dcterms:created>
  <dc:creator>Zeyu Lu</dc:creator>
</cp:coreProperties>
</file>