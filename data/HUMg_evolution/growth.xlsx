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engb\PycharmProjects\FPP_FACS\data\HUMg_evolution\"/>
    </mc:Choice>
  </mc:AlternateContent>
  <xr:revisionPtr revIDLastSave="0" documentId="13_ncr:1_{9F42110F-237B-44F4-A28E-C2355B4B4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5" i="1"/>
  <c r="E18" i="1"/>
  <c r="E17" i="1"/>
  <c r="E14" i="1"/>
  <c r="E11" i="1"/>
  <c r="E6" i="1"/>
  <c r="C14" i="1"/>
  <c r="C13" i="1"/>
  <c r="C12" i="1"/>
  <c r="C8" i="1"/>
  <c r="C9" i="1"/>
  <c r="C10" i="1"/>
  <c r="C11" i="1"/>
  <c r="C7" i="1"/>
</calcChain>
</file>

<file path=xl/sharedStrings.xml><?xml version="1.0" encoding="utf-8"?>
<sst xmlns="http://schemas.openxmlformats.org/spreadsheetml/2006/main" count="6" uniqueCount="6">
  <si>
    <t>P0</t>
  </si>
  <si>
    <t>p1</t>
  </si>
  <si>
    <t>p2</t>
  </si>
  <si>
    <t>p3</t>
  </si>
  <si>
    <t>Time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</si>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</sst>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Sheet1!$C$3:$C$6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</c:numCache>
            </c:numRef>
          </c:xVal>
          <c:yVal>
            <c:numRef>
              <c:f>Sheet1!$D$3:$D$6</c:f>
              <c:numCache>
                <c:formatCode>General</c:formatCode>
                <c:ptCount val="4"/>
                <c:pt idx="0">
                  <c:v>0.3</c:v>
                </c:pt>
                <c:pt idx="1">
                  <c:v>0.5</c:v>
                </c:pt>
                <c:pt idx="2">
                  <c:v>0.8</c:v>
                </c:pt>
                <c:pt idx="3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9-4E35-A3F9-31576CCC70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Sheet1!$C$7:$C$11</c:f>
              <c:numCache>
                <c:formatCode>General</c:formatCode>
                <c:ptCount val="5"/>
                <c:pt idx="0">
                  <c:v>72</c:v>
                </c:pt>
                <c:pt idx="1">
                  <c:v>96</c:v>
                </c:pt>
                <c:pt idx="2">
                  <c:v>144</c:v>
                </c:pt>
                <c:pt idx="3">
                  <c:v>168</c:v>
                </c:pt>
                <c:pt idx="4">
                  <c:v>192</c:v>
                </c:pt>
              </c:numCache>
            </c:numRef>
          </c:xVal>
          <c:yVal>
            <c:numRef>
              <c:f>Sheet1!$D$7:$D$11</c:f>
              <c:numCache>
                <c:formatCode>General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1</c:v>
                </c:pt>
                <c:pt idx="3">
                  <c:v>3</c:v>
                </c:pt>
                <c:pt idx="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B9-4E35-A3F9-31576CCC706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Sheet1!$C$12:$C$14</c:f>
              <c:numCache>
                <c:formatCode>General</c:formatCode>
                <c:ptCount val="3"/>
                <c:pt idx="0">
                  <c:v>192</c:v>
                </c:pt>
                <c:pt idx="1">
                  <c:v>264</c:v>
                </c:pt>
                <c:pt idx="2">
                  <c:v>360</c:v>
                </c:pt>
              </c:numCache>
            </c:numRef>
          </c:xVal>
          <c:yVal>
            <c:numRef>
              <c:f>Sheet1!$D$12:$D$14</c:f>
              <c:numCache>
                <c:formatCode>General</c:formatCode>
                <c:ptCount val="3"/>
                <c:pt idx="0">
                  <c:v>0.2</c:v>
                </c:pt>
                <c:pt idx="1">
                  <c:v>7</c:v>
                </c:pt>
                <c:pt idx="2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B9-4E35-A3F9-31576CCC706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Sheet1!$C$15:$C$17</c:f>
              <c:numCache>
                <c:formatCode>General</c:formatCode>
                <c:ptCount val="3"/>
                <c:pt idx="0">
                  <c:v>360</c:v>
                </c:pt>
                <c:pt idx="1">
                  <c:v>408</c:v>
                </c:pt>
                <c:pt idx="2">
                  <c:v>432</c:v>
                </c:pt>
              </c:numCache>
            </c:numRef>
          </c:xVal>
          <c:yVal>
            <c:numRef>
              <c:f>Sheet1!$D$15:$D$17</c:f>
              <c:numCache>
                <c:formatCode>General</c:formatCode>
                <c:ptCount val="3"/>
                <c:pt idx="0">
                  <c:v>0.2</c:v>
                </c:pt>
                <c:pt idx="1">
                  <c:v>11</c:v>
                </c:pt>
                <c:pt idx="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B9-4E35-A3F9-31576CCC7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544960"/>
        <c:axId val="1605546400"/>
      </c:scatterChart>
      <c:valAx>
        <c:axId val="160554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46400"/>
        <c:crosses val="autoZero"/>
        <c:crossBetween val="midCat"/>
      </c:valAx>
      <c:valAx>
        <c:axId val="160554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4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CB118-5817-A30B-3EF3-13351B157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tabSelected="1" workbookViewId="0">
      <selection activeCell="H23" sqref="H23"/>
    </sheetView>
  </sheetViews>
  <sheetFormatPr defaultRowHeight="14.4" x14ac:dyDescent="0.3"/>
  <sheetData>
    <row r="2" spans="1:7" x14ac:dyDescent="0.3">
      <c r="C2" t="s">
        <v>4</v>
      </c>
      <c r="D2" t="s">
        <v>5</v>
      </c>
    </row>
    <row r="3" spans="1:7" x14ac:dyDescent="0.3">
      <c r="A3" t="s">
        <v>0</v>
      </c>
      <c r="B3">
        <v>0</v>
      </c>
      <c r="C3">
        <v>0</v>
      </c>
      <c r="D3">
        <v>0.3</v>
      </c>
      <c r="G3">
        <v>612.90909588705097</v>
      </c>
    </row>
    <row r="4" spans="1:7" x14ac:dyDescent="0.3">
      <c r="B4">
        <v>24</v>
      </c>
      <c r="C4">
        <v>24</v>
      </c>
      <c r="D4">
        <v>0.5</v>
      </c>
      <c r="G4">
        <v>632.82156392286049</v>
      </c>
    </row>
    <row r="5" spans="1:7" x14ac:dyDescent="0.3">
      <c r="B5">
        <v>48</v>
      </c>
      <c r="C5">
        <v>48</v>
      </c>
      <c r="D5">
        <v>0.8</v>
      </c>
      <c r="G5">
        <v>257.88927746197936</v>
      </c>
    </row>
    <row r="6" spans="1:7" x14ac:dyDescent="0.3">
      <c r="B6">
        <v>72</v>
      </c>
      <c r="C6">
        <v>72</v>
      </c>
      <c r="D6">
        <v>1.2</v>
      </c>
      <c r="E6">
        <f>LOG(D6/D3,2)</f>
        <v>2</v>
      </c>
      <c r="G6">
        <v>330.34960384216629</v>
      </c>
    </row>
    <row r="7" spans="1:7" x14ac:dyDescent="0.3">
      <c r="A7" t="s">
        <v>1</v>
      </c>
      <c r="B7">
        <v>0</v>
      </c>
      <c r="C7">
        <f>C$6+B7</f>
        <v>72</v>
      </c>
      <c r="D7">
        <v>0.2</v>
      </c>
    </row>
    <row r="8" spans="1:7" x14ac:dyDescent="0.3">
      <c r="B8">
        <v>24</v>
      </c>
      <c r="C8">
        <f t="shared" ref="C8:C11" si="0">C$6+B8</f>
        <v>96</v>
      </c>
      <c r="D8">
        <v>0.5</v>
      </c>
      <c r="G8">
        <v>204.34235706001817</v>
      </c>
    </row>
    <row r="9" spans="1:7" x14ac:dyDescent="0.3">
      <c r="B9">
        <v>72</v>
      </c>
      <c r="C9">
        <f t="shared" si="0"/>
        <v>144</v>
      </c>
      <c r="D9">
        <v>1</v>
      </c>
      <c r="G9">
        <v>207.25438487901212</v>
      </c>
    </row>
    <row r="10" spans="1:7" x14ac:dyDescent="0.3">
      <c r="B10">
        <v>96</v>
      </c>
      <c r="C10">
        <f t="shared" si="0"/>
        <v>168</v>
      </c>
      <c r="D10">
        <v>3</v>
      </c>
      <c r="G10">
        <v>674.2420361155406</v>
      </c>
    </row>
    <row r="11" spans="1:7" x14ac:dyDescent="0.3">
      <c r="B11">
        <v>120</v>
      </c>
      <c r="C11">
        <f t="shared" si="0"/>
        <v>192</v>
      </c>
      <c r="D11">
        <v>11</v>
      </c>
      <c r="E11">
        <f>LOG(D11/D7,2)</f>
        <v>5.7813597135246599</v>
      </c>
      <c r="G11">
        <v>1000.2290123052845</v>
      </c>
    </row>
    <row r="12" spans="1:7" x14ac:dyDescent="0.3">
      <c r="A12" t="s">
        <v>2</v>
      </c>
      <c r="B12">
        <v>0</v>
      </c>
      <c r="C12">
        <f>C$11+B12</f>
        <v>192</v>
      </c>
      <c r="D12">
        <v>0.2</v>
      </c>
    </row>
    <row r="13" spans="1:7" x14ac:dyDescent="0.3">
      <c r="B13">
        <v>72</v>
      </c>
      <c r="C13">
        <f t="shared" ref="C13:C14" si="1">C$11+B13</f>
        <v>264</v>
      </c>
      <c r="D13">
        <v>7</v>
      </c>
      <c r="G13">
        <v>676.72021971173149</v>
      </c>
    </row>
    <row r="14" spans="1:7" x14ac:dyDescent="0.3">
      <c r="B14">
        <v>96</v>
      </c>
      <c r="C14">
        <f>C$13+B14</f>
        <v>360</v>
      </c>
      <c r="D14">
        <v>11</v>
      </c>
      <c r="E14">
        <f>LOG(D14/D12,2)</f>
        <v>5.7813597135246599</v>
      </c>
      <c r="G14">
        <v>666.12047813293634</v>
      </c>
    </row>
    <row r="15" spans="1:7" x14ac:dyDescent="0.3">
      <c r="A15" t="s">
        <v>3</v>
      </c>
      <c r="B15">
        <v>0</v>
      </c>
      <c r="C15">
        <f>C$14+B15</f>
        <v>360</v>
      </c>
      <c r="D15">
        <v>0.2</v>
      </c>
    </row>
    <row r="16" spans="1:7" x14ac:dyDescent="0.3">
      <c r="B16">
        <v>48</v>
      </c>
      <c r="C16">
        <f t="shared" ref="C16:C17" si="2">C$14+B16</f>
        <v>408</v>
      </c>
      <c r="D16">
        <v>11</v>
      </c>
      <c r="G16">
        <v>850.14834207338106</v>
      </c>
    </row>
    <row r="17" spans="2:7" x14ac:dyDescent="0.3">
      <c r="B17">
        <v>72</v>
      </c>
      <c r="C17">
        <f t="shared" si="2"/>
        <v>432</v>
      </c>
      <c r="D17">
        <v>14</v>
      </c>
      <c r="E17">
        <f>LOG(D17/D15,2)</f>
        <v>6.1292830169449672</v>
      </c>
      <c r="G17">
        <v>536.27319149504694</v>
      </c>
    </row>
    <row r="18" spans="2:7" x14ac:dyDescent="0.3">
      <c r="E18">
        <f>SUM(E6:E17)</f>
        <v>19.692002443994287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>B Peng</cp:lastModifiedBy>
  <dcterms:created xsi:type="dcterms:W3CDTF">2015-06-05T18:17:20Z</dcterms:created>
  <dcterms:modified xsi:type="dcterms:W3CDTF">2026-04-17T09:25:01Z</dcterms:modified>
</cp:coreProperties>
</file>