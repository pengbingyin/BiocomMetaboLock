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data\HUMgEH_evolution\"/>
    </mc:Choice>
  </mc:AlternateContent>
  <xr:revisionPtr revIDLastSave="0" documentId="13_ncr:1_{A015A062-5693-4C9E-82F4-309FA4ED4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2" l="1"/>
  <c r="J43" i="2"/>
  <c r="J40" i="2"/>
  <c r="J41" i="2"/>
  <c r="J42" i="2"/>
  <c r="J39" i="2"/>
  <c r="J36" i="2"/>
  <c r="J37" i="2"/>
  <c r="J38" i="2"/>
  <c r="J35" i="2"/>
  <c r="J32" i="2"/>
  <c r="J33" i="2"/>
  <c r="J34" i="2"/>
  <c r="J31" i="2"/>
  <c r="J29" i="2"/>
  <c r="J30" i="2"/>
  <c r="J28" i="2"/>
  <c r="J27" i="2"/>
  <c r="E19" i="2"/>
  <c r="H14" i="2"/>
  <c r="C18" i="2"/>
  <c r="U10" i="2"/>
  <c r="S10" i="2"/>
  <c r="P10" i="2"/>
  <c r="M10" i="2"/>
  <c r="C13" i="2"/>
  <c r="C12" i="2"/>
  <c r="C14" i="2" s="1"/>
  <c r="B30" i="2" l="1"/>
  <c r="B29" i="2"/>
  <c r="B28" i="2"/>
  <c r="B31" i="2" s="1"/>
  <c r="C24" i="2"/>
  <c r="D21" i="2"/>
  <c r="C21" i="2"/>
  <c r="K18" i="2"/>
  <c r="H18" i="2"/>
  <c r="K17" i="2"/>
  <c r="H17" i="2"/>
  <c r="C17" i="2"/>
  <c r="K16" i="2"/>
  <c r="K19" i="2" s="1"/>
  <c r="H16" i="2"/>
  <c r="H19" i="2" s="1"/>
  <c r="C16" i="2"/>
  <c r="K13" i="2"/>
  <c r="F13" i="2"/>
  <c r="K12" i="2"/>
  <c r="K14" i="2" s="1"/>
  <c r="F12" i="2"/>
  <c r="F14" i="2" s="1"/>
  <c r="C19" i="2" l="1"/>
</calcChain>
</file>

<file path=xl/sharedStrings.xml><?xml version="1.0" encoding="utf-8"?>
<sst xmlns="http://schemas.openxmlformats.org/spreadsheetml/2006/main" count="45" uniqueCount="31">
  <si>
    <t>evolve in 4xynb 40 g/L glucose</t>
  </si>
  <si>
    <t>P0</t>
  </si>
  <si>
    <t>OD600</t>
  </si>
  <si>
    <t>volume to concentrate cell to OD =5</t>
  </si>
  <si>
    <t>OD600 after concentration</t>
  </si>
  <si>
    <t>volume for inoculation</t>
  </si>
  <si>
    <t>0 h</t>
  </si>
  <si>
    <t>24 h</t>
  </si>
  <si>
    <t>48 h</t>
  </si>
  <si>
    <t>72h</t>
  </si>
  <si>
    <t>HUMS-E+-1</t>
  </si>
  <si>
    <t>HUMS-E+-2</t>
  </si>
  <si>
    <t>HUMS-E+-3</t>
  </si>
  <si>
    <t>HUMS-E+-4</t>
  </si>
  <si>
    <t>HUMS-E+-5</t>
  </si>
  <si>
    <t>HUMS-E+-6</t>
  </si>
  <si>
    <t>P1</t>
  </si>
  <si>
    <t>P2</t>
  </si>
  <si>
    <t xml:space="preserve">HUMS-E+ mix P1 72 h -1 </t>
  </si>
  <si>
    <t>HUMS-E+ mix P1 72 h -2</t>
  </si>
  <si>
    <t>HUMS-E+ mix P1 72 h -3</t>
  </si>
  <si>
    <t>HUMS-E+ mix p2 -72 h inoculum</t>
  </si>
  <si>
    <t xml:space="preserve">P4 </t>
  </si>
  <si>
    <t>72 h</t>
  </si>
  <si>
    <t>HUMS-E+ mix p3 -72 h inoculum</t>
  </si>
  <si>
    <t>P5</t>
  </si>
  <si>
    <t>HUMS-E+ mix p4 -72 h inoculum</t>
  </si>
  <si>
    <t>24h</t>
  </si>
  <si>
    <t>P3</t>
  </si>
  <si>
    <t>0h</t>
  </si>
  <si>
    <t>HUMS-E+ MIX P0-72h inoculum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</si>
</sst>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F60B-A1D1-4AC0-BCC2-7DB74792214F}">
  <dimension ref="A1:U44"/>
  <sheetViews>
    <sheetView tabSelected="1" topLeftCell="A21" workbookViewId="0">
      <selection activeCell="H30" sqref="H30"/>
    </sheetView>
  </sheetViews>
  <sheetFormatPr defaultRowHeight="14.4" x14ac:dyDescent="0.3"/>
  <cols>
    <col min="1" max="1" width="27.77734375" bestFit="1" customWidth="1"/>
  </cols>
  <sheetData>
    <row r="1" spans="1:21" x14ac:dyDescent="0.3">
      <c r="A1" t="s">
        <v>0</v>
      </c>
    </row>
    <row r="3" spans="1:21" x14ac:dyDescent="0.3">
      <c r="A3" t="s">
        <v>1</v>
      </c>
      <c r="B3" t="s">
        <v>2</v>
      </c>
      <c r="D3" t="s">
        <v>3</v>
      </c>
      <c r="F3" t="s">
        <v>4</v>
      </c>
      <c r="I3" t="s">
        <v>5</v>
      </c>
      <c r="L3" t="s">
        <v>6</v>
      </c>
      <c r="O3" t="s">
        <v>7</v>
      </c>
      <c r="R3" t="s">
        <v>8</v>
      </c>
      <c r="U3" s="1" t="s">
        <v>9</v>
      </c>
    </row>
    <row r="4" spans="1:21" x14ac:dyDescent="0.3">
      <c r="A4" t="s">
        <v>10</v>
      </c>
      <c r="B4">
        <v>1.02</v>
      </c>
      <c r="D4">
        <v>1.4279999999999999</v>
      </c>
      <c r="F4">
        <v>0.10199999999999999</v>
      </c>
      <c r="G4">
        <v>5.0999999999999996</v>
      </c>
      <c r="I4">
        <v>0.85714285714285732</v>
      </c>
      <c r="L4">
        <v>3.3000000000000002E-2</v>
      </c>
      <c r="M4">
        <v>0.16500000000000001</v>
      </c>
      <c r="O4">
        <v>0.14599999999999999</v>
      </c>
      <c r="P4">
        <v>0.73</v>
      </c>
      <c r="R4">
        <v>0.36399999999999999</v>
      </c>
      <c r="S4">
        <v>1.8199999999999998</v>
      </c>
      <c r="U4">
        <v>3.4</v>
      </c>
    </row>
    <row r="5" spans="1:21" x14ac:dyDescent="0.3">
      <c r="A5" t="s">
        <v>11</v>
      </c>
      <c r="B5">
        <v>1.24</v>
      </c>
      <c r="D5">
        <v>1.736</v>
      </c>
      <c r="F5">
        <v>0.114</v>
      </c>
      <c r="G5">
        <v>5.7</v>
      </c>
      <c r="I5">
        <v>0.76363636363636367</v>
      </c>
      <c r="L5">
        <v>3.3000000000000002E-2</v>
      </c>
      <c r="M5">
        <v>0.16500000000000001</v>
      </c>
      <c r="O5">
        <v>0.13400000000000001</v>
      </c>
      <c r="P5">
        <v>0.67</v>
      </c>
      <c r="R5">
        <v>0.32500000000000001</v>
      </c>
      <c r="S5">
        <v>1.625</v>
      </c>
      <c r="U5">
        <v>2.8</v>
      </c>
    </row>
    <row r="6" spans="1:21" x14ac:dyDescent="0.3">
      <c r="A6" t="s">
        <v>12</v>
      </c>
      <c r="B6">
        <v>0.96</v>
      </c>
      <c r="D6">
        <v>1.3439999999999999</v>
      </c>
      <c r="F6">
        <v>0.11600000000000001</v>
      </c>
      <c r="G6">
        <v>5.8000000000000007</v>
      </c>
      <c r="I6">
        <v>0.75</v>
      </c>
      <c r="L6">
        <v>3.6999999999999998E-2</v>
      </c>
      <c r="M6">
        <v>0.185</v>
      </c>
      <c r="O6">
        <v>0.13300000000000001</v>
      </c>
      <c r="P6">
        <v>0.66500000000000004</v>
      </c>
      <c r="R6">
        <v>0.36399999999999999</v>
      </c>
      <c r="S6">
        <v>1.8199999999999998</v>
      </c>
      <c r="U6">
        <v>3.05</v>
      </c>
    </row>
    <row r="7" spans="1:21" x14ac:dyDescent="0.3">
      <c r="A7" t="s">
        <v>13</v>
      </c>
      <c r="B7">
        <v>1.1000000000000001</v>
      </c>
      <c r="D7">
        <v>1.54</v>
      </c>
      <c r="F7">
        <v>0.11600000000000001</v>
      </c>
      <c r="G7">
        <v>5.8000000000000007</v>
      </c>
      <c r="I7">
        <v>0.75</v>
      </c>
      <c r="L7">
        <v>3.5999999999999997E-2</v>
      </c>
      <c r="M7">
        <v>0.18</v>
      </c>
      <c r="O7">
        <v>9.4E-2</v>
      </c>
      <c r="P7">
        <v>0.47</v>
      </c>
      <c r="R7">
        <v>0.28599999999999998</v>
      </c>
      <c r="S7">
        <v>1.43</v>
      </c>
      <c r="U7">
        <v>2.6</v>
      </c>
    </row>
    <row r="8" spans="1:21" x14ac:dyDescent="0.3">
      <c r="A8" t="s">
        <v>14</v>
      </c>
      <c r="B8">
        <v>1.07</v>
      </c>
      <c r="D8">
        <v>1.498</v>
      </c>
      <c r="F8">
        <v>0.115</v>
      </c>
      <c r="G8">
        <v>5.75</v>
      </c>
      <c r="I8">
        <v>0.7567567567567568</v>
      </c>
      <c r="L8">
        <v>3.9E-2</v>
      </c>
      <c r="M8">
        <v>0.19500000000000001</v>
      </c>
      <c r="O8">
        <v>0.17100000000000001</v>
      </c>
      <c r="P8">
        <v>0.85500000000000009</v>
      </c>
      <c r="R8">
        <v>0.437</v>
      </c>
      <c r="S8">
        <v>2.1850000000000001</v>
      </c>
      <c r="U8">
        <v>3.7</v>
      </c>
    </row>
    <row r="9" spans="1:21" x14ac:dyDescent="0.3">
      <c r="A9" t="s">
        <v>15</v>
      </c>
      <c r="B9">
        <v>0.95</v>
      </c>
      <c r="D9">
        <v>1.3299999999999998</v>
      </c>
      <c r="F9">
        <v>0.11700000000000001</v>
      </c>
      <c r="G9">
        <v>5.8500000000000005</v>
      </c>
      <c r="I9">
        <v>0.74336283185840701</v>
      </c>
      <c r="L9">
        <v>3.3000000000000002E-2</v>
      </c>
      <c r="M9">
        <v>0.16500000000000001</v>
      </c>
      <c r="O9">
        <v>0.11600000000000001</v>
      </c>
      <c r="P9">
        <v>0.58000000000000007</v>
      </c>
      <c r="R9">
        <v>0.33700000000000002</v>
      </c>
      <c r="S9">
        <v>1.6850000000000001</v>
      </c>
      <c r="U9">
        <v>2.8</v>
      </c>
    </row>
    <row r="10" spans="1:21" x14ac:dyDescent="0.3">
      <c r="M10">
        <f>AVERAGE(M4:M9)</f>
        <v>0.17583333333333337</v>
      </c>
      <c r="P10">
        <f>AVERAGE(P4:P9)</f>
        <v>0.66166666666666674</v>
      </c>
      <c r="S10">
        <f>AVERAGE(S4:S9)</f>
        <v>1.7608333333333333</v>
      </c>
      <c r="U10">
        <f>AVERAGE(U4:U9)</f>
        <v>3.0583333333333336</v>
      </c>
    </row>
    <row r="11" spans="1:21" x14ac:dyDescent="0.3">
      <c r="A11" t="s">
        <v>16</v>
      </c>
      <c r="B11" t="s">
        <v>29</v>
      </c>
      <c r="E11" t="s">
        <v>7</v>
      </c>
      <c r="H11" t="s">
        <v>8</v>
      </c>
      <c r="J11" s="1" t="s">
        <v>9</v>
      </c>
    </row>
    <row r="12" spans="1:21" x14ac:dyDescent="0.3">
      <c r="A12" t="s">
        <v>30</v>
      </c>
      <c r="B12">
        <v>6.8000000000000005E-2</v>
      </c>
      <c r="C12">
        <f>5*B12</f>
        <v>0.34</v>
      </c>
      <c r="E12">
        <v>6.8000000000000005E-2</v>
      </c>
      <c r="F12">
        <f>5*E12</f>
        <v>0.34</v>
      </c>
      <c r="H12">
        <v>1.1499999999999999</v>
      </c>
      <c r="J12">
        <v>0.308</v>
      </c>
      <c r="K12">
        <f>50*J12</f>
        <v>15.4</v>
      </c>
    </row>
    <row r="13" spans="1:21" x14ac:dyDescent="0.3">
      <c r="A13" t="s">
        <v>30</v>
      </c>
      <c r="B13">
        <v>6.7000000000000004E-2</v>
      </c>
      <c r="C13">
        <f>5*B13</f>
        <v>0.33500000000000002</v>
      </c>
      <c r="E13">
        <v>6.7000000000000004E-2</v>
      </c>
      <c r="F13">
        <f>5*E13</f>
        <v>0.33500000000000002</v>
      </c>
      <c r="H13">
        <v>1.01</v>
      </c>
      <c r="J13">
        <v>0.32600000000000001</v>
      </c>
      <c r="K13">
        <f>50*J13</f>
        <v>16.3</v>
      </c>
    </row>
    <row r="14" spans="1:21" x14ac:dyDescent="0.3">
      <c r="C14">
        <f>AVERAGE(C12:C13)</f>
        <v>0.33750000000000002</v>
      </c>
      <c r="F14">
        <f>AVERAGE(F12:F13)</f>
        <v>0.33750000000000002</v>
      </c>
      <c r="H14">
        <f>AVERAGE(H12:H13)</f>
        <v>1.08</v>
      </c>
      <c r="K14">
        <f>AVERAGE(K12:K13)</f>
        <v>15.850000000000001</v>
      </c>
    </row>
    <row r="15" spans="1:21" x14ac:dyDescent="0.3">
      <c r="A15" t="s">
        <v>17</v>
      </c>
      <c r="B15" t="s">
        <v>29</v>
      </c>
      <c r="E15" t="s">
        <v>7</v>
      </c>
      <c r="G15" t="s">
        <v>8</v>
      </c>
      <c r="J15" s="1" t="s">
        <v>9</v>
      </c>
    </row>
    <row r="16" spans="1:21" x14ac:dyDescent="0.3">
      <c r="A16" t="s">
        <v>18</v>
      </c>
      <c r="B16">
        <v>3.6999999999999998E-2</v>
      </c>
      <c r="C16">
        <f>5*B16</f>
        <v>0.185</v>
      </c>
      <c r="E16">
        <v>1.26</v>
      </c>
      <c r="G16">
        <v>0.28499999999999998</v>
      </c>
      <c r="H16">
        <f>50*G16</f>
        <v>14.249999999999998</v>
      </c>
      <c r="J16">
        <v>0.28100000000000003</v>
      </c>
      <c r="K16">
        <f>50*J16</f>
        <v>14.05</v>
      </c>
    </row>
    <row r="17" spans="1:14" x14ac:dyDescent="0.3">
      <c r="A17" t="s">
        <v>19</v>
      </c>
      <c r="B17">
        <v>3.9E-2</v>
      </c>
      <c r="C17">
        <f t="shared" ref="C17:C18" si="0">5*B17</f>
        <v>0.19500000000000001</v>
      </c>
      <c r="E17">
        <v>1.35</v>
      </c>
      <c r="G17">
        <v>0.28199999999999997</v>
      </c>
      <c r="H17">
        <f t="shared" ref="H17:H18" si="1">50*G17</f>
        <v>14.099999999999998</v>
      </c>
      <c r="J17">
        <v>0.29399999999999998</v>
      </c>
      <c r="K17">
        <f t="shared" ref="K17:K18" si="2">50*J17</f>
        <v>14.7</v>
      </c>
    </row>
    <row r="18" spans="1:14" x14ac:dyDescent="0.3">
      <c r="A18" t="s">
        <v>20</v>
      </c>
      <c r="B18">
        <v>4.1000000000000002E-2</v>
      </c>
      <c r="C18">
        <f t="shared" si="0"/>
        <v>0.20500000000000002</v>
      </c>
      <c r="E18">
        <v>1.39</v>
      </c>
      <c r="G18">
        <v>0.247</v>
      </c>
      <c r="H18">
        <f t="shared" si="1"/>
        <v>12.35</v>
      </c>
      <c r="J18">
        <v>0.307</v>
      </c>
      <c r="K18">
        <f t="shared" si="2"/>
        <v>15.35</v>
      </c>
    </row>
    <row r="19" spans="1:14" x14ac:dyDescent="0.3">
      <c r="C19">
        <f>AVERAGE(C16:C18)</f>
        <v>0.19499999999999998</v>
      </c>
      <c r="E19">
        <f>AVERAGE(E16:E18)</f>
        <v>1.3333333333333333</v>
      </c>
      <c r="H19">
        <f>AVERAGE(H16:H18)</f>
        <v>13.566666666666665</v>
      </c>
      <c r="K19">
        <f>AVERAGE(K16:K18)</f>
        <v>14.700000000000001</v>
      </c>
    </row>
    <row r="20" spans="1:14" x14ac:dyDescent="0.3">
      <c r="A20" t="s">
        <v>28</v>
      </c>
      <c r="B20" t="s">
        <v>7</v>
      </c>
      <c r="C20" t="s">
        <v>8</v>
      </c>
      <c r="D20" s="2" t="s">
        <v>9</v>
      </c>
    </row>
    <row r="21" spans="1:14" x14ac:dyDescent="0.3">
      <c r="A21" t="s">
        <v>21</v>
      </c>
      <c r="B21">
        <v>0.4</v>
      </c>
      <c r="C21">
        <f>50*0.107</f>
        <v>5.35</v>
      </c>
      <c r="D21">
        <f>50*0.343</f>
        <v>17.150000000000002</v>
      </c>
    </row>
    <row r="23" spans="1:14" x14ac:dyDescent="0.3">
      <c r="A23" t="s">
        <v>22</v>
      </c>
      <c r="B23" t="s">
        <v>6</v>
      </c>
      <c r="C23" t="s">
        <v>7</v>
      </c>
      <c r="D23" t="s">
        <v>8</v>
      </c>
      <c r="E23" s="1" t="s">
        <v>23</v>
      </c>
      <c r="K23">
        <v>0</v>
      </c>
      <c r="L23">
        <v>0</v>
      </c>
      <c r="M23">
        <v>0.17599999999999999</v>
      </c>
      <c r="N23">
        <v>1153.5650000000001</v>
      </c>
    </row>
    <row r="24" spans="1:14" x14ac:dyDescent="0.3">
      <c r="A24" t="s">
        <v>24</v>
      </c>
      <c r="B24">
        <v>0.25</v>
      </c>
      <c r="C24">
        <f>0.322*20</f>
        <v>6.44</v>
      </c>
      <c r="D24">
        <v>18.45</v>
      </c>
      <c r="E24">
        <v>17.399999999999999</v>
      </c>
      <c r="K24">
        <v>24</v>
      </c>
      <c r="L24">
        <v>24</v>
      </c>
      <c r="M24">
        <v>0.66100000000000003</v>
      </c>
      <c r="N24">
        <v>574.11410000000001</v>
      </c>
    </row>
    <row r="25" spans="1:14" x14ac:dyDescent="0.3">
      <c r="K25">
        <v>48</v>
      </c>
      <c r="L25">
        <v>48</v>
      </c>
      <c r="M25">
        <v>1.76</v>
      </c>
      <c r="N25">
        <v>255.1114</v>
      </c>
    </row>
    <row r="26" spans="1:14" x14ac:dyDescent="0.3">
      <c r="A26" t="s">
        <v>25</v>
      </c>
      <c r="K26">
        <v>72</v>
      </c>
      <c r="L26">
        <v>72</v>
      </c>
      <c r="M26">
        <v>3.05</v>
      </c>
      <c r="N26">
        <v>149.4357</v>
      </c>
    </row>
    <row r="27" spans="1:14" x14ac:dyDescent="0.3">
      <c r="A27" t="s">
        <v>26</v>
      </c>
      <c r="B27" s="1" t="s">
        <v>27</v>
      </c>
      <c r="J27">
        <f>L$26+K27</f>
        <v>72</v>
      </c>
      <c r="K27">
        <v>0</v>
      </c>
      <c r="L27">
        <v>72</v>
      </c>
      <c r="M27">
        <v>0.33800000000000002</v>
      </c>
    </row>
    <row r="28" spans="1:14" x14ac:dyDescent="0.3">
      <c r="B28">
        <f>0.268*20</f>
        <v>5.36</v>
      </c>
      <c r="J28">
        <f>L$26+K28</f>
        <v>96</v>
      </c>
      <c r="K28">
        <v>24</v>
      </c>
      <c r="L28">
        <v>96</v>
      </c>
      <c r="M28">
        <v>0.33800000000000002</v>
      </c>
      <c r="N28">
        <v>238.15260000000001</v>
      </c>
    </row>
    <row r="29" spans="1:14" x14ac:dyDescent="0.3">
      <c r="B29">
        <f>0.28*20</f>
        <v>5.6000000000000005</v>
      </c>
      <c r="J29">
        <f t="shared" ref="J29:J30" si="3">L$26+K29</f>
        <v>120</v>
      </c>
      <c r="K29">
        <v>48</v>
      </c>
      <c r="L29">
        <v>120</v>
      </c>
      <c r="M29">
        <v>1.08</v>
      </c>
      <c r="N29">
        <v>350.59949999999998</v>
      </c>
    </row>
    <row r="30" spans="1:14" x14ac:dyDescent="0.3">
      <c r="B30">
        <f>0.268*20</f>
        <v>5.36</v>
      </c>
      <c r="J30">
        <f t="shared" si="3"/>
        <v>144</v>
      </c>
      <c r="K30">
        <v>72</v>
      </c>
      <c r="L30">
        <v>144</v>
      </c>
      <c r="M30">
        <v>15.85</v>
      </c>
      <c r="N30">
        <v>737.36649999999997</v>
      </c>
    </row>
    <row r="31" spans="1:14" x14ac:dyDescent="0.3">
      <c r="B31">
        <f>AVERAGE(B28:B30)</f>
        <v>5.44</v>
      </c>
      <c r="J31">
        <f>J$30+K31</f>
        <v>144</v>
      </c>
      <c r="K31">
        <v>0</v>
      </c>
      <c r="L31">
        <v>144</v>
      </c>
      <c r="M31">
        <v>0.19500000000000001</v>
      </c>
    </row>
    <row r="32" spans="1:14" x14ac:dyDescent="0.3">
      <c r="J32">
        <f t="shared" ref="J32:J44" si="4">J$30+K32</f>
        <v>168</v>
      </c>
      <c r="K32">
        <v>24</v>
      </c>
      <c r="L32">
        <v>168</v>
      </c>
      <c r="M32">
        <v>1.33</v>
      </c>
      <c r="N32">
        <v>534.68290000000002</v>
      </c>
    </row>
    <row r="33" spans="10:14" x14ac:dyDescent="0.3">
      <c r="J33">
        <f t="shared" si="4"/>
        <v>192</v>
      </c>
      <c r="K33">
        <v>48</v>
      </c>
      <c r="L33">
        <v>192</v>
      </c>
      <c r="M33">
        <v>13.56</v>
      </c>
      <c r="N33">
        <v>543.51400000000001</v>
      </c>
    </row>
    <row r="34" spans="10:14" x14ac:dyDescent="0.3">
      <c r="J34">
        <f t="shared" si="4"/>
        <v>216</v>
      </c>
      <c r="K34">
        <v>72</v>
      </c>
      <c r="L34">
        <v>216</v>
      </c>
      <c r="M34">
        <v>14.7</v>
      </c>
      <c r="N34">
        <v>339.67829999999998</v>
      </c>
    </row>
    <row r="35" spans="10:14" x14ac:dyDescent="0.3">
      <c r="J35">
        <f>J$34+K35</f>
        <v>216</v>
      </c>
      <c r="K35">
        <v>0</v>
      </c>
      <c r="L35">
        <v>216</v>
      </c>
      <c r="M35">
        <v>0.2</v>
      </c>
    </row>
    <row r="36" spans="10:14" x14ac:dyDescent="0.3">
      <c r="J36">
        <f t="shared" ref="J36:J44" si="5">J$34+K36</f>
        <v>240</v>
      </c>
      <c r="K36">
        <v>24</v>
      </c>
      <c r="L36">
        <v>240</v>
      </c>
      <c r="M36">
        <v>0.4</v>
      </c>
      <c r="N36">
        <v>387.83069999999998</v>
      </c>
    </row>
    <row r="37" spans="10:14" x14ac:dyDescent="0.3">
      <c r="J37">
        <f t="shared" si="5"/>
        <v>264</v>
      </c>
      <c r="K37">
        <v>48</v>
      </c>
      <c r="L37">
        <v>264</v>
      </c>
      <c r="M37">
        <v>5.35</v>
      </c>
      <c r="N37">
        <v>489.45609999999999</v>
      </c>
    </row>
    <row r="38" spans="10:14" x14ac:dyDescent="0.3">
      <c r="J38">
        <f t="shared" si="5"/>
        <v>288</v>
      </c>
      <c r="K38">
        <v>72</v>
      </c>
      <c r="L38">
        <v>288</v>
      </c>
      <c r="M38">
        <v>17.149999999999999</v>
      </c>
      <c r="N38">
        <v>643.43550000000005</v>
      </c>
    </row>
    <row r="39" spans="10:14" x14ac:dyDescent="0.3">
      <c r="J39">
        <f>J$38+K39</f>
        <v>288</v>
      </c>
      <c r="K39">
        <v>0</v>
      </c>
      <c r="L39">
        <v>288</v>
      </c>
      <c r="M39">
        <v>0.25</v>
      </c>
    </row>
    <row r="40" spans="10:14" x14ac:dyDescent="0.3">
      <c r="J40">
        <f t="shared" ref="J40:J44" si="6">J$38+K40</f>
        <v>312</v>
      </c>
      <c r="K40">
        <v>24</v>
      </c>
      <c r="L40">
        <v>312</v>
      </c>
      <c r="M40">
        <v>6.44</v>
      </c>
      <c r="N40">
        <v>645.25379999999996</v>
      </c>
    </row>
    <row r="41" spans="10:14" x14ac:dyDescent="0.3">
      <c r="J41">
        <f t="shared" si="6"/>
        <v>336</v>
      </c>
      <c r="K41">
        <v>48</v>
      </c>
      <c r="L41">
        <v>336</v>
      </c>
      <c r="M41">
        <v>18.45</v>
      </c>
      <c r="N41">
        <v>883.33010000000002</v>
      </c>
    </row>
    <row r="42" spans="10:14" x14ac:dyDescent="0.3">
      <c r="J42">
        <f t="shared" si="6"/>
        <v>360</v>
      </c>
      <c r="K42">
        <v>72</v>
      </c>
      <c r="L42">
        <v>360</v>
      </c>
      <c r="M42">
        <v>17.399999999999999</v>
      </c>
      <c r="N42">
        <v>909.53049999999996</v>
      </c>
    </row>
    <row r="43" spans="10:14" x14ac:dyDescent="0.3">
      <c r="J43">
        <f>J$42+K43</f>
        <v>360</v>
      </c>
      <c r="K43">
        <v>0</v>
      </c>
      <c r="L43">
        <v>360</v>
      </c>
      <c r="M43">
        <v>0.2</v>
      </c>
    </row>
    <row r="44" spans="10:14" x14ac:dyDescent="0.3">
      <c r="J44">
        <f>J$42+K44</f>
        <v>384</v>
      </c>
      <c r="K44">
        <v>24</v>
      </c>
      <c r="L44">
        <v>384</v>
      </c>
      <c r="M44">
        <v>5.44</v>
      </c>
      <c r="N44">
        <v>483.31779999999998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 Lu</dc:creator>
  <cp:lastModifiedBy>B Peng</cp:lastModifiedBy>
  <dcterms:created xsi:type="dcterms:W3CDTF">2015-06-05T18:17:20Z</dcterms:created>
  <dcterms:modified xsi:type="dcterms:W3CDTF">2026-04-18T01:58:03Z</dcterms:modified>
</cp:coreProperties>
</file>