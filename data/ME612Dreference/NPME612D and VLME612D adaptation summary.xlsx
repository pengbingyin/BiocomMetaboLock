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y Drive\paper\FPP toxicity\original data\NP VLD NTP VLTP N VL adaptation\"/>
    </mc:Choice>
  </mc:AlternateContent>
  <xr:revisionPtr revIDLastSave="0" documentId="13_ncr:1_{3924A149-67E8-4144-9F4B-49E31B0AC0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2" l="1"/>
  <c r="S14" i="2"/>
  <c r="S12" i="2"/>
  <c r="S11" i="2"/>
  <c r="S9" i="2"/>
  <c r="S8" i="2"/>
  <c r="S6" i="2"/>
  <c r="S5" i="2"/>
  <c r="S3" i="2"/>
  <c r="S2" i="2"/>
  <c r="Q15" i="2"/>
  <c r="R15" i="2" s="1"/>
  <c r="Q14" i="2"/>
  <c r="R14" i="2" s="1"/>
  <c r="Q12" i="2"/>
  <c r="R12" i="2" s="1"/>
  <c r="Q11" i="2"/>
  <c r="R11" i="2" s="1"/>
  <c r="Q9" i="2"/>
  <c r="R9" i="2" s="1"/>
  <c r="Q8" i="2"/>
  <c r="R8" i="2" s="1"/>
  <c r="Q6" i="2"/>
  <c r="R6" i="2" s="1"/>
  <c r="Q5" i="2"/>
  <c r="R5" i="2" s="1"/>
  <c r="Q3" i="2"/>
  <c r="Q2" i="2"/>
  <c r="R3" i="2"/>
  <c r="R2" i="2"/>
</calcChain>
</file>

<file path=xl/sharedStrings.xml><?xml version="1.0" encoding="utf-8"?>
<sst xmlns="http://schemas.openxmlformats.org/spreadsheetml/2006/main" count="38" uniqueCount="19">
  <si>
    <t>1-0 YFAST</t>
  </si>
  <si>
    <t>Specimen_001</t>
  </si>
  <si>
    <t>Tube_005</t>
  </si>
  <si>
    <t>Aug 11, 2026 5:47:31 PM</t>
  </si>
  <si>
    <t>Tube_006</t>
  </si>
  <si>
    <t>Aug 11, 2026 5:48:34 PM</t>
  </si>
  <si>
    <t>1-39 YFAST</t>
  </si>
  <si>
    <t>Tube_001</t>
  </si>
  <si>
    <t>Aug 13, 2026 7:46:24 AM</t>
  </si>
  <si>
    <t>Tube_002</t>
  </si>
  <si>
    <t>Aug 13, 2026 7:47:19 AM</t>
  </si>
  <si>
    <t>1-72 YFAST</t>
  </si>
  <si>
    <t>Aug 14, 2026 4:43:55 PM</t>
  </si>
  <si>
    <t>Aug 14, 2026 4:44:42 PM</t>
  </si>
  <si>
    <t>2-20 YFAST</t>
  </si>
  <si>
    <t>Aug 15, 2026 2:21:39 PM</t>
  </si>
  <si>
    <t>Aug 15, 2026 2:22:24 PM</t>
  </si>
  <si>
    <t>Aug 17, 2026 4:44:48 PM</t>
  </si>
  <si>
    <t>Aug 17, 2026 4:46:17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</si>
</sst>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DF6E-1E0D-4C90-A632-F40480441900}">
  <dimension ref="A1:S15"/>
  <sheetViews>
    <sheetView showGridLines="0" tabSelected="1" workbookViewId="0">
      <selection activeCell="S18" sqref="S18"/>
    </sheetView>
  </sheetViews>
  <sheetFormatPr defaultRowHeight="14.4" x14ac:dyDescent="0.3"/>
  <sheetData>
    <row r="1" spans="1:19" x14ac:dyDescent="0.3">
      <c r="R1">
        <v>9.6438868340991499E-3</v>
      </c>
    </row>
    <row r="2" spans="1:19" x14ac:dyDescent="0.3">
      <c r="A2" t="s">
        <v>0</v>
      </c>
      <c r="B2" t="s">
        <v>1</v>
      </c>
      <c r="C2" t="s">
        <v>2</v>
      </c>
      <c r="D2" t="s">
        <v>3</v>
      </c>
      <c r="E2">
        <v>10000</v>
      </c>
      <c r="G2">
        <v>25349</v>
      </c>
      <c r="H2">
        <v>9641</v>
      </c>
      <c r="I2">
        <v>670</v>
      </c>
      <c r="J2">
        <v>3274</v>
      </c>
      <c r="K2">
        <v>3245</v>
      </c>
      <c r="L2">
        <v>791</v>
      </c>
      <c r="M2">
        <v>6203</v>
      </c>
      <c r="N2">
        <v>271</v>
      </c>
      <c r="O2">
        <v>3760</v>
      </c>
      <c r="P2">
        <v>5746</v>
      </c>
      <c r="Q2">
        <f>I2/((450/100)^7.28)*((552/100)^7.28)</f>
        <v>2964.8599821473454</v>
      </c>
      <c r="R2">
        <f>Q2/G2</f>
        <v>0.11696161513855953</v>
      </c>
      <c r="S2" s="2">
        <f>R2/$R$1-1</f>
        <v>11.128057613140282</v>
      </c>
    </row>
    <row r="3" spans="1:19" x14ac:dyDescent="0.3">
      <c r="A3" t="s">
        <v>0</v>
      </c>
      <c r="B3" t="s">
        <v>1</v>
      </c>
      <c r="C3" t="s">
        <v>4</v>
      </c>
      <c r="D3" t="s">
        <v>5</v>
      </c>
      <c r="E3">
        <v>10000</v>
      </c>
      <c r="G3">
        <v>20395</v>
      </c>
      <c r="H3">
        <v>7960</v>
      </c>
      <c r="I3">
        <v>543</v>
      </c>
      <c r="J3">
        <v>3046</v>
      </c>
      <c r="K3">
        <v>2885</v>
      </c>
      <c r="L3">
        <v>715</v>
      </c>
      <c r="M3">
        <v>4092</v>
      </c>
      <c r="N3">
        <v>182</v>
      </c>
      <c r="O3">
        <v>2268</v>
      </c>
      <c r="P3">
        <v>4182</v>
      </c>
      <c r="Q3">
        <f>I3/((450/100)^7.28)*((552/100)^7.28)</f>
        <v>2402.8641347850876</v>
      </c>
      <c r="R3">
        <f>Q3/G3</f>
        <v>0.11781633413998958</v>
      </c>
      <c r="S3" s="2">
        <f>R3/$R$1-1</f>
        <v>11.21668567526228</v>
      </c>
    </row>
    <row r="5" spans="1:19" x14ac:dyDescent="0.3">
      <c r="A5" t="s">
        <v>6</v>
      </c>
      <c r="B5" t="s">
        <v>1</v>
      </c>
      <c r="C5" t="s">
        <v>7</v>
      </c>
      <c r="D5" t="s">
        <v>8</v>
      </c>
      <c r="E5">
        <v>10000</v>
      </c>
      <c r="G5">
        <v>43610</v>
      </c>
      <c r="H5">
        <v>27082</v>
      </c>
      <c r="I5">
        <v>86799</v>
      </c>
      <c r="J5">
        <v>174334</v>
      </c>
      <c r="K5">
        <v>110508</v>
      </c>
      <c r="L5">
        <v>20334</v>
      </c>
      <c r="M5">
        <v>8039</v>
      </c>
      <c r="N5">
        <v>396</v>
      </c>
      <c r="O5">
        <v>11978</v>
      </c>
      <c r="P5">
        <v>160664</v>
      </c>
      <c r="Q5">
        <f>I5/((350/100)^7.28)*((552/100)^7.28)</f>
        <v>2393403.0754751801</v>
      </c>
      <c r="R5">
        <f>Q5/G5</f>
        <v>54.88197834155423</v>
      </c>
      <c r="S5" s="2">
        <f>R5/$R$1-1</f>
        <v>5689.8567350148542</v>
      </c>
    </row>
    <row r="6" spans="1:19" x14ac:dyDescent="0.3">
      <c r="A6" t="s">
        <v>6</v>
      </c>
      <c r="B6" t="s">
        <v>1</v>
      </c>
      <c r="C6" t="s">
        <v>9</v>
      </c>
      <c r="D6" t="s">
        <v>10</v>
      </c>
      <c r="E6">
        <v>10000</v>
      </c>
      <c r="G6">
        <v>33863</v>
      </c>
      <c r="H6">
        <v>16422</v>
      </c>
      <c r="I6">
        <v>21400</v>
      </c>
      <c r="J6">
        <v>171821</v>
      </c>
      <c r="K6">
        <v>31258</v>
      </c>
      <c r="L6">
        <v>5046</v>
      </c>
      <c r="M6">
        <v>12532</v>
      </c>
      <c r="N6">
        <v>535</v>
      </c>
      <c r="O6">
        <v>6938</v>
      </c>
      <c r="P6">
        <v>76028</v>
      </c>
      <c r="Q6">
        <f>I6/((350/100)^7.28)*((552/100)^7.28)</f>
        <v>590085.43664292048</v>
      </c>
      <c r="R6">
        <f>Q6/G6</f>
        <v>17.42566921545405</v>
      </c>
      <c r="S6" s="2">
        <f>R6/$R$1-1</f>
        <v>1805.9134898845803</v>
      </c>
    </row>
    <row r="8" spans="1:19" x14ac:dyDescent="0.3">
      <c r="A8" t="s">
        <v>11</v>
      </c>
      <c r="B8" t="s">
        <v>1</v>
      </c>
      <c r="C8" t="s">
        <v>7</v>
      </c>
      <c r="D8" t="s">
        <v>12</v>
      </c>
      <c r="E8">
        <v>10000</v>
      </c>
      <c r="G8">
        <v>18650</v>
      </c>
      <c r="H8">
        <v>7366</v>
      </c>
      <c r="I8">
        <v>1617</v>
      </c>
      <c r="J8">
        <v>11758</v>
      </c>
      <c r="K8">
        <v>3805</v>
      </c>
      <c r="L8">
        <v>756</v>
      </c>
      <c r="M8">
        <v>2801</v>
      </c>
      <c r="N8">
        <v>136</v>
      </c>
      <c r="O8">
        <v>2910</v>
      </c>
      <c r="P8">
        <v>11754</v>
      </c>
      <c r="Q8">
        <f>I8/((350/100)^7.28)*((552/100)^7.28)</f>
        <v>44587.296778112264</v>
      </c>
      <c r="R8">
        <f>Q8/G8</f>
        <v>2.3907397736253224</v>
      </c>
      <c r="S8" s="2">
        <f>R8/$R$1-1</f>
        <v>246.90209743773346</v>
      </c>
    </row>
    <row r="9" spans="1:19" x14ac:dyDescent="0.3">
      <c r="A9" t="s">
        <v>11</v>
      </c>
      <c r="B9" t="s">
        <v>1</v>
      </c>
      <c r="C9" t="s">
        <v>9</v>
      </c>
      <c r="D9" t="s">
        <v>13</v>
      </c>
      <c r="E9">
        <v>10000</v>
      </c>
      <c r="G9">
        <v>24524</v>
      </c>
      <c r="H9">
        <v>12391</v>
      </c>
      <c r="I9">
        <v>10489</v>
      </c>
      <c r="J9">
        <v>80147</v>
      </c>
      <c r="K9">
        <v>16207</v>
      </c>
      <c r="L9">
        <v>2649</v>
      </c>
      <c r="M9">
        <v>5731</v>
      </c>
      <c r="N9">
        <v>258</v>
      </c>
      <c r="O9">
        <v>4002</v>
      </c>
      <c r="P9">
        <v>38657</v>
      </c>
      <c r="Q9">
        <f>I9/((350/100)^7.28)*((552/100)^7.28)</f>
        <v>289224.58621250436</v>
      </c>
      <c r="R9">
        <f>Q9/G9</f>
        <v>11.793532303559957</v>
      </c>
      <c r="S9" s="2">
        <f>R9/$R$1-1</f>
        <v>1221.9023946921509</v>
      </c>
    </row>
    <row r="11" spans="1:19" x14ac:dyDescent="0.3">
      <c r="A11" t="s">
        <v>14</v>
      </c>
      <c r="B11" t="s">
        <v>1</v>
      </c>
      <c r="C11" t="s">
        <v>7</v>
      </c>
      <c r="D11" t="s">
        <v>15</v>
      </c>
      <c r="E11">
        <v>10000</v>
      </c>
      <c r="G11">
        <v>18093</v>
      </c>
      <c r="H11">
        <v>5446</v>
      </c>
      <c r="I11">
        <v>256</v>
      </c>
      <c r="J11">
        <v>3630</v>
      </c>
      <c r="K11">
        <v>1160</v>
      </c>
      <c r="L11">
        <v>289</v>
      </c>
      <c r="M11">
        <v>1081</v>
      </c>
      <c r="N11">
        <v>48</v>
      </c>
      <c r="O11">
        <v>2069</v>
      </c>
      <c r="P11">
        <v>5467</v>
      </c>
      <c r="Q11">
        <f>I11/((350/100)^7.28)*((552/100)^7.28)</f>
        <v>7058.965971055497</v>
      </c>
      <c r="R11">
        <f>Q11/G11</f>
        <v>0.39014900630384663</v>
      </c>
      <c r="S11" s="2">
        <f>R11/$R$1-1</f>
        <v>39.455576990425257</v>
      </c>
    </row>
    <row r="12" spans="1:19" x14ac:dyDescent="0.3">
      <c r="A12" t="s">
        <v>14</v>
      </c>
      <c r="B12" t="s">
        <v>1</v>
      </c>
      <c r="C12" t="s">
        <v>9</v>
      </c>
      <c r="D12" t="s">
        <v>16</v>
      </c>
      <c r="E12">
        <v>10000</v>
      </c>
      <c r="G12">
        <v>22591</v>
      </c>
      <c r="H12">
        <v>6256</v>
      </c>
      <c r="I12">
        <v>1236</v>
      </c>
      <c r="J12">
        <v>9543</v>
      </c>
      <c r="K12">
        <v>2486</v>
      </c>
      <c r="L12">
        <v>450</v>
      </c>
      <c r="M12">
        <v>2073</v>
      </c>
      <c r="N12">
        <v>88</v>
      </c>
      <c r="O12">
        <v>2084</v>
      </c>
      <c r="P12">
        <v>8817</v>
      </c>
      <c r="Q12">
        <f>I12/((350/100)^7.28)*((552/100)^7.28)</f>
        <v>34081.570079002318</v>
      </c>
      <c r="R12">
        <f>Q12/G12</f>
        <v>1.5086348580851807</v>
      </c>
      <c r="S12" s="2">
        <f>R12/$R$1-1</f>
        <v>155.43431782618015</v>
      </c>
    </row>
    <row r="14" spans="1:19" x14ac:dyDescent="0.3">
      <c r="A14" s="1">
        <v>26330</v>
      </c>
      <c r="B14" t="s">
        <v>1</v>
      </c>
      <c r="C14" t="s">
        <v>7</v>
      </c>
      <c r="D14" t="s">
        <v>17</v>
      </c>
      <c r="E14">
        <v>10000</v>
      </c>
      <c r="G14">
        <v>17654</v>
      </c>
      <c r="H14">
        <v>6055</v>
      </c>
      <c r="I14">
        <v>352</v>
      </c>
      <c r="J14">
        <v>4698</v>
      </c>
      <c r="K14">
        <v>1310</v>
      </c>
      <c r="L14">
        <v>302</v>
      </c>
      <c r="M14">
        <v>1997</v>
      </c>
      <c r="N14">
        <v>85</v>
      </c>
      <c r="O14">
        <v>2795</v>
      </c>
      <c r="P14">
        <v>5320</v>
      </c>
      <c r="Q14">
        <f>I14/((350/100)^7.28)*((552/100)^7.28)</f>
        <v>9706.0782102013072</v>
      </c>
      <c r="R14">
        <f>Q14/G14</f>
        <v>0.54979484593867156</v>
      </c>
      <c r="S14" s="2">
        <f>R14/$R$1-1</f>
        <v>56.009674148673142</v>
      </c>
    </row>
    <row r="15" spans="1:19" x14ac:dyDescent="0.3">
      <c r="A15" s="1">
        <v>26330</v>
      </c>
      <c r="B15" t="s">
        <v>1</v>
      </c>
      <c r="C15" t="s">
        <v>9</v>
      </c>
      <c r="D15" t="s">
        <v>18</v>
      </c>
      <c r="E15">
        <v>10000</v>
      </c>
      <c r="G15">
        <v>18296</v>
      </c>
      <c r="H15">
        <v>5654</v>
      </c>
      <c r="I15">
        <v>729</v>
      </c>
      <c r="J15">
        <v>8166</v>
      </c>
      <c r="K15">
        <v>1737</v>
      </c>
      <c r="L15">
        <v>335</v>
      </c>
      <c r="M15">
        <v>2339</v>
      </c>
      <c r="N15">
        <v>99</v>
      </c>
      <c r="O15">
        <v>2574</v>
      </c>
      <c r="P15">
        <v>6500</v>
      </c>
      <c r="Q15">
        <f>I15/((350/100)^7.28)*((552/100)^7.28)</f>
        <v>20101.508566013505</v>
      </c>
      <c r="R15">
        <f>Q15/G15</f>
        <v>1.0986832403811491</v>
      </c>
      <c r="S15" s="2">
        <f>R15/$R$1-1</f>
        <v>112.92535595672808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Bingyin Peng</cp:lastModifiedBy>
  <dcterms:created xsi:type="dcterms:W3CDTF">2015-06-05T18:17:20Z</dcterms:created>
  <dcterms:modified xsi:type="dcterms:W3CDTF">2026-08-20T00:25:21Z</dcterms:modified>
</cp:coreProperties>
</file>